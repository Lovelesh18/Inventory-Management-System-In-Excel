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D154C1E-A3B2-4AD6-A06C-E0681C2207B2}" xr6:coauthVersionLast="47" xr6:coauthVersionMax="47" xr10:uidLastSave="{00000000-0000-0000-0000-000000000000}"/>
  <bookViews>
    <workbookView xWindow="-108" yWindow="-108" windowWidth="23256" windowHeight="12456" activeTab="6" xr2:uid="{2EF32E4B-D0CE-41EB-A989-C4EA93FC9189}"/>
  </bookViews>
  <sheets>
    <sheet name="Dashboard" sheetId="1" r:id="rId1"/>
    <sheet name="Customers" sheetId="2" r:id="rId2"/>
    <sheet name="Products" sheetId="3" r:id="rId3"/>
    <sheet name="Vendors" sheetId="4" r:id="rId4"/>
    <sheet name="New Entry" sheetId="5" r:id="rId5"/>
    <sheet name="Purchase" sheetId="6" r:id="rId6"/>
    <sheet name="Sales" sheetId="11" r:id="rId7"/>
    <sheet name="Inventory" sheetId="7" r:id="rId8"/>
    <sheet name="Pivot" sheetId="8" r:id="rId9"/>
    <sheet name="Sheet9" sheetId="9" r:id="rId10"/>
  </sheets>
  <definedNames>
    <definedName name="Customer">Customerdata[Cust_Id]</definedName>
    <definedName name="hsncode">vendorsdata[HSN Code]</definedName>
  </definedNames>
  <calcPr calcId="181029"/>
  <pivotCaches>
    <pivotCache cacheId="24" r:id="rId11"/>
    <pivotCache cacheId="27" r:id="rId12"/>
    <pivotCache cacheId="29" r:id="rId13"/>
    <pivotCache cacheId="31" r:id="rId14"/>
    <pivotCache cacheId="33" r:id="rId1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7" l="1"/>
  <c r="R17" i="1" s="1"/>
  <c r="L13" i="7"/>
  <c r="L14" i="7"/>
  <c r="L15" i="7"/>
  <c r="L16" i="7"/>
  <c r="L17" i="7"/>
  <c r="L18" i="7"/>
  <c r="L19" i="7"/>
  <c r="L10" i="7"/>
  <c r="L11" i="7"/>
  <c r="R21" i="1"/>
  <c r="R23" i="1"/>
  <c r="R18" i="1"/>
  <c r="R22" i="1"/>
  <c r="R24" i="1"/>
  <c r="R16" i="1"/>
  <c r="I20" i="11"/>
  <c r="I21" i="11"/>
  <c r="I22" i="11"/>
  <c r="D11" i="7"/>
  <c r="E11" i="7"/>
  <c r="F11" i="7"/>
  <c r="D12" i="7"/>
  <c r="E12" i="7"/>
  <c r="F12" i="7"/>
  <c r="D13" i="7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D19" i="7"/>
  <c r="E19" i="7"/>
  <c r="F19" i="7"/>
  <c r="E10" i="7"/>
  <c r="F10" i="7"/>
  <c r="D10" i="7"/>
  <c r="L20" i="11"/>
  <c r="L21" i="11"/>
  <c r="L22" i="11"/>
  <c r="K10" i="11"/>
  <c r="L10" i="11" s="1"/>
  <c r="K11" i="11"/>
  <c r="L11" i="11" s="1"/>
  <c r="K12" i="11"/>
  <c r="L12" i="11" s="1"/>
  <c r="K13" i="11"/>
  <c r="L13" i="11" s="1"/>
  <c r="K14" i="11"/>
  <c r="L14" i="11" s="1"/>
  <c r="K15" i="11"/>
  <c r="L15" i="11" s="1"/>
  <c r="K16" i="11"/>
  <c r="L16" i="11" s="1"/>
  <c r="K17" i="11"/>
  <c r="L17" i="11" s="1"/>
  <c r="K18" i="11"/>
  <c r="L18" i="11" s="1"/>
  <c r="K20" i="11"/>
  <c r="K21" i="11"/>
  <c r="K22" i="11"/>
  <c r="G10" i="11"/>
  <c r="G11" i="11"/>
  <c r="G12" i="11"/>
  <c r="G13" i="11"/>
  <c r="G14" i="11"/>
  <c r="G15" i="11"/>
  <c r="G16" i="11"/>
  <c r="G17" i="11"/>
  <c r="G18" i="11"/>
  <c r="G20" i="11"/>
  <c r="G21" i="11"/>
  <c r="G22" i="11"/>
  <c r="E10" i="11"/>
  <c r="E11" i="11"/>
  <c r="E12" i="11"/>
  <c r="E13" i="11"/>
  <c r="E14" i="11"/>
  <c r="E15" i="11"/>
  <c r="E16" i="11"/>
  <c r="E17" i="11"/>
  <c r="E18" i="11"/>
  <c r="E20" i="11"/>
  <c r="E21" i="11"/>
  <c r="E22" i="11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D26" i="8"/>
  <c r="D21" i="8"/>
  <c r="D16" i="8"/>
  <c r="D13" i="8"/>
  <c r="D9" i="8"/>
  <c r="D5" i="8"/>
  <c r="F12" i="8" l="1"/>
  <c r="H17" i="7"/>
  <c r="H10" i="7"/>
  <c r="G10" i="7"/>
  <c r="H13" i="7"/>
  <c r="H16" i="7"/>
  <c r="H12" i="7"/>
  <c r="H19" i="7"/>
  <c r="H15" i="7"/>
  <c r="H11" i="7"/>
  <c r="H18" i="7"/>
  <c r="H14" i="7"/>
  <c r="G17" i="7"/>
  <c r="I17" i="7" s="1"/>
  <c r="G13" i="7"/>
  <c r="G16" i="7"/>
  <c r="G12" i="7"/>
  <c r="G15" i="7"/>
  <c r="G11" i="7"/>
  <c r="G19" i="7"/>
  <c r="G18" i="7"/>
  <c r="G14" i="7"/>
  <c r="I12" i="7" l="1"/>
  <c r="I14" i="7"/>
  <c r="I11" i="7"/>
  <c r="J11" i="7" s="1"/>
  <c r="I15" i="7"/>
  <c r="I18" i="7"/>
  <c r="I10" i="7"/>
  <c r="I16" i="7"/>
  <c r="I19" i="7"/>
  <c r="I13" i="7"/>
  <c r="K14" i="7"/>
  <c r="K15" i="7"/>
  <c r="J17" i="7"/>
  <c r="K17" i="7"/>
  <c r="J12" i="7"/>
  <c r="K12" i="7"/>
  <c r="K16" i="7"/>
  <c r="K11" i="7"/>
  <c r="J14" i="7" l="1"/>
  <c r="I14" i="11"/>
  <c r="I12" i="11"/>
  <c r="J18" i="7"/>
  <c r="J19" i="7"/>
  <c r="J15" i="7"/>
  <c r="I17" i="11"/>
  <c r="I11" i="11"/>
  <c r="K10" i="7"/>
  <c r="K19" i="7"/>
  <c r="K18" i="7"/>
  <c r="I16" i="11"/>
  <c r="J13" i="7"/>
  <c r="I18" i="11"/>
  <c r="J16" i="7"/>
  <c r="I15" i="11"/>
  <c r="J10" i="7"/>
  <c r="I10" i="11"/>
  <c r="I13" i="11"/>
  <c r="K13" i="7"/>
</calcChain>
</file>

<file path=xl/sharedStrings.xml><?xml version="1.0" encoding="utf-8"?>
<sst xmlns="http://schemas.openxmlformats.org/spreadsheetml/2006/main" count="186" uniqueCount="94">
  <si>
    <t>Cust_ID</t>
  </si>
  <si>
    <t>Name</t>
  </si>
  <si>
    <t>Email</t>
  </si>
  <si>
    <t>Address</t>
  </si>
  <si>
    <t>Delhi, India</t>
  </si>
  <si>
    <t>121102, Palwal, HR</t>
  </si>
  <si>
    <t>Faridabad, 121101</t>
  </si>
  <si>
    <t>Agra, UP</t>
  </si>
  <si>
    <t>New Delhi, 110011</t>
  </si>
  <si>
    <t>Gurgaon, Sec-15</t>
  </si>
  <si>
    <t>Cust_Id</t>
  </si>
  <si>
    <t>Rahul</t>
  </si>
  <si>
    <t>Vikas</t>
  </si>
  <si>
    <t>Arun</t>
  </si>
  <si>
    <t>Vansh</t>
  </si>
  <si>
    <t>Sahil</t>
  </si>
  <si>
    <t>Lovelesh</t>
  </si>
  <si>
    <t>Sachin</t>
  </si>
  <si>
    <t>Rahul@gmail.com</t>
  </si>
  <si>
    <t>Chandigarh,sector-17</t>
  </si>
  <si>
    <t>HSN Code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</si>
  <si>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</si>
  <si>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</si>
  <si>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</si>
  <si>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</si>
  <si>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</si>
  <si>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</si>
  <si>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</si>
  <si>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</si>
  <si>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</si>
  <si>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</si>
  <si>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</si>
  <si>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</si>
  <si>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</si>
  <si>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</si>
  <si>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</si>
  <si>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</si>
  <si>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</si>
  <si>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</si>
  <si>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</si>
  <si>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</si>
  <si>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</si>
  <si>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</si>
  <si>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</si>
  <si>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</si>
  <si>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</si>
  <si>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</si>
  <si>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9812xxxxxx</t>
  </si>
  <si>
    <t>Faridabad, 121102</t>
  </si>
  <si>
    <t>Faridabad, 121103</t>
  </si>
  <si>
    <t>GG Traders</t>
  </si>
  <si>
    <t>9813xxxxxx</t>
  </si>
  <si>
    <t>Gurgaon, Sec-16</t>
  </si>
  <si>
    <t>Gurgaon, Sec-17</t>
  </si>
  <si>
    <t>Gurgaon, Sec-18</t>
  </si>
  <si>
    <t>Compac</t>
  </si>
  <si>
    <t>9814xxxxxx</t>
  </si>
  <si>
    <t>New Delhi, 110012</t>
  </si>
  <si>
    <t>New Delhi, 110013</t>
  </si>
  <si>
    <t>New Delhi, 110014</t>
  </si>
  <si>
    <t>Purchase Entry</t>
  </si>
  <si>
    <t>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</si>
  <si>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</si>
  <si>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</si>
  <si>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</si>
  <si>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</si>
  <si>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</si>
  <si>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</si>
  <si>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</si>
  <si>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</si>
  <si>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</si>
  <si>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</si>
  <si>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Stock Amt.</t>
  </si>
  <si>
    <t>Count of Cust_Id</t>
  </si>
  <si>
    <t>Total customer</t>
  </si>
  <si>
    <t>Count of Product Name</t>
  </si>
  <si>
    <t>Total Product</t>
  </si>
  <si>
    <t>Sum of Amount</t>
  </si>
  <si>
    <t>Total Purchase</t>
  </si>
  <si>
    <t>Total Sales</t>
  </si>
  <si>
    <t>Sum of Stock</t>
  </si>
  <si>
    <t>IN STOCK</t>
  </si>
  <si>
    <t>Sum of Stock Amt.</t>
  </si>
  <si>
    <t>Stock Amount</t>
  </si>
  <si>
    <t>Profit./Loss</t>
  </si>
  <si>
    <t>Row Labels</t>
  </si>
  <si>
    <t>Grand Total</t>
  </si>
  <si>
    <t>Sum of S Units</t>
  </si>
  <si>
    <t>Notification !!</t>
  </si>
  <si>
    <t>Staus</t>
  </si>
  <si>
    <t>Notification</t>
  </si>
  <si>
    <t>haslly</t>
  </si>
  <si>
    <t>hally@hmail.com</t>
  </si>
  <si>
    <t>yfykfkyud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</si>
</sst>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_ ;_ &quot;₹&quot;\ * \-#,##0_ ;_ &quot;₹&quot;\ * &quot;-&quot;_ ;_ @_ "/>
    <numFmt numFmtId="165" formatCode="dd\-mm\-yyyy"/>
    <numFmt numFmtId="168" formatCode="[$₹-439]#,##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9" fillId="2" borderId="0" xfId="1" applyFill="1"/>
    <xf numFmtId="0" fontId="3" fillId="2" borderId="0" xfId="0" applyFont="1" applyFill="1"/>
    <xf numFmtId="0" fontId="0" fillId="2" borderId="0" xfId="0" applyFill="1" applyBorder="1"/>
    <xf numFmtId="0" fontId="8" fillId="2" borderId="0" xfId="0" applyFont="1" applyFill="1"/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11" fillId="2" borderId="0" xfId="1" applyFont="1" applyFill="1" applyBorder="1"/>
    <xf numFmtId="0" fontId="7" fillId="2" borderId="0" xfId="0" applyFont="1" applyFill="1" applyBorder="1"/>
    <xf numFmtId="164" fontId="3" fillId="2" borderId="0" xfId="0" applyNumberFormat="1" applyFont="1" applyFill="1"/>
    <xf numFmtId="0" fontId="12" fillId="2" borderId="0" xfId="0" applyFont="1" applyFill="1"/>
    <xf numFmtId="0" fontId="13" fillId="2" borderId="0" xfId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/>
    <xf numFmtId="0" fontId="2" fillId="2" borderId="0" xfId="0" applyFont="1" applyFill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3" xfId="0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7" fillId="4" borderId="0" xfId="0" applyFont="1" applyFill="1"/>
    <xf numFmtId="0" fontId="0" fillId="2" borderId="0" xfId="0" applyNumberFormat="1" applyFill="1"/>
    <xf numFmtId="0" fontId="1" fillId="3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8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numFmt numFmtId="165" formatCode="dd\-mm\-yyyy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vertAlign val="baseline"/>
        <sz val="1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vertAlign val="baseline"/>
        <sz val="1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8"/>
        <name val="Calibri"/>
        <family val="2"/>
        <scheme val="minor"/>
      </font>
    </dxf>
    <dxf>
      <font>
        <strike val="0"/>
        <outline val="0"/>
        <shadow val="0"/>
        <vertAlign val="baseline"/>
        <sz val="18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</a:t>
            </a:r>
            <a:r>
              <a:rPr lang="en-US"/>
              <a:t>  Products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Pivot!$H$4:$H$9</c:f>
              <c:strCache>
                <c:ptCount val="5"/>
                <c:pt idx="0">
                  <c:v>Wireless Printer</c:v>
                </c:pt>
                <c:pt idx="1">
                  <c:v>Mouse</c:v>
                </c:pt>
                <c:pt idx="2">
                  <c:v>Camera</c:v>
                </c:pt>
                <c:pt idx="3">
                  <c:v>Laptop HP xyz i5</c:v>
                </c:pt>
                <c:pt idx="4">
                  <c:v>Smart Watch</c:v>
                </c:pt>
              </c:strCache>
            </c:strRef>
          </c:cat>
          <c:val>
            <c:numRef>
              <c:f>Pivot!$I$4:$I$9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E2-4579-9B8B-7858A631C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48756552"/>
        <c:axId val="948753272"/>
      </c:barChart>
      <c:catAx>
        <c:axId val="948756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53272"/>
        <c:crosses val="autoZero"/>
        <c:auto val="1"/>
        <c:lblAlgn val="ctr"/>
        <c:lblOffset val="100"/>
        <c:noMultiLvlLbl val="0"/>
      </c:catAx>
      <c:valAx>
        <c:axId val="948753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5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Pivot!$H$14:$H$19</c:f>
              <c:strCache>
                <c:ptCount val="5"/>
                <c:pt idx="0">
                  <c:v>Vansh</c:v>
                </c:pt>
                <c:pt idx="1">
                  <c:v>Vikas</c:v>
                </c:pt>
                <c:pt idx="2">
                  <c:v>Rahul</c:v>
                </c:pt>
                <c:pt idx="3">
                  <c:v>Sahil</c:v>
                </c:pt>
                <c:pt idx="4">
                  <c:v>Lovelesh</c:v>
                </c:pt>
              </c:strCache>
            </c:strRef>
          </c:cat>
          <c:val>
            <c:numRef>
              <c:f>Pivot!$I$14:$I$19</c:f>
              <c:numCache>
                <c:formatCode>General</c:formatCode>
                <c:ptCount val="5"/>
                <c:pt idx="0">
                  <c:v>728880</c:v>
                </c:pt>
                <c:pt idx="1">
                  <c:v>416400</c:v>
                </c:pt>
                <c:pt idx="2">
                  <c:v>197784</c:v>
                </c:pt>
                <c:pt idx="3">
                  <c:v>151200</c:v>
                </c:pt>
                <c:pt idx="4">
                  <c:v>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4-4797-86F6-E129C41E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446248"/>
        <c:axId val="961451496"/>
      </c:barChart>
      <c:catAx>
        <c:axId val="96144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51496"/>
        <c:crosses val="autoZero"/>
        <c:auto val="1"/>
        <c:lblAlgn val="ctr"/>
        <c:lblOffset val="100"/>
        <c:noMultiLvlLbl val="0"/>
      </c:catAx>
      <c:valAx>
        <c:axId val="961451496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44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5.png"/><Relationship Id="rId18" Type="http://schemas.openxmlformats.org/officeDocument/2006/relationships/chart" Target="../charts/chart1.xml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9.png"/><Relationship Id="rId2" Type="http://schemas.openxmlformats.org/officeDocument/2006/relationships/hyperlink" Target="#Dashboard!A1"/><Relationship Id="rId16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3.pn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10" Type="http://schemas.openxmlformats.org/officeDocument/2006/relationships/image" Target="../media/image2.png"/><Relationship Id="rId19" Type="http://schemas.openxmlformats.org/officeDocument/2006/relationships/chart" Target="../charts/chart2.xml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13.png"/><Relationship Id="rId17" Type="http://schemas.openxmlformats.org/officeDocument/2006/relationships/image" Target="../media/image16.png"/><Relationship Id="rId2" Type="http://schemas.openxmlformats.org/officeDocument/2006/relationships/hyperlink" Target="#Dashboard!A1"/><Relationship Id="rId16" Type="http://schemas.openxmlformats.org/officeDocument/2006/relationships/image" Target="../media/image15.png"/><Relationship Id="rId1" Type="http://schemas.openxmlformats.org/officeDocument/2006/relationships/image" Target="../media/image10.png"/><Relationship Id="rId6" Type="http://schemas.openxmlformats.org/officeDocument/2006/relationships/hyperlink" Target="#'New Entry'!A1"/><Relationship Id="rId11" Type="http://schemas.openxmlformats.org/officeDocument/2006/relationships/image" Target="../media/image12.pn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10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23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14.png"/><Relationship Id="rId3" Type="http://schemas.openxmlformats.org/officeDocument/2006/relationships/hyperlink" Target="#Customers!A1"/><Relationship Id="rId7" Type="http://schemas.openxmlformats.org/officeDocument/2006/relationships/hyperlink" Target="#Purchase!A1"/><Relationship Id="rId12" Type="http://schemas.openxmlformats.org/officeDocument/2006/relationships/image" Target="../media/image4.png"/><Relationship Id="rId17" Type="http://schemas.openxmlformats.org/officeDocument/2006/relationships/image" Target="../media/image22.png"/><Relationship Id="rId2" Type="http://schemas.openxmlformats.org/officeDocument/2006/relationships/hyperlink" Target="#Dashboard!A1"/><Relationship Id="rId16" Type="http://schemas.openxmlformats.org/officeDocument/2006/relationships/image" Target="../media/image21.png"/><Relationship Id="rId1" Type="http://schemas.openxmlformats.org/officeDocument/2006/relationships/image" Target="../media/image17.png"/><Relationship Id="rId6" Type="http://schemas.openxmlformats.org/officeDocument/2006/relationships/hyperlink" Target="#'New Entry'!A1"/><Relationship Id="rId11" Type="http://schemas.openxmlformats.org/officeDocument/2006/relationships/image" Target="../media/image19.png"/><Relationship Id="rId5" Type="http://schemas.openxmlformats.org/officeDocument/2006/relationships/hyperlink" Target="#Vendors!A1"/><Relationship Id="rId15" Type="http://schemas.openxmlformats.org/officeDocument/2006/relationships/image" Target="../media/image20.png"/><Relationship Id="rId10" Type="http://schemas.openxmlformats.org/officeDocument/2006/relationships/image" Target="../media/image18.pn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96895</xdr:colOff>
      <xdr:row>8</xdr:row>
      <xdr:rowOff>42334</xdr:rowOff>
    </xdr:from>
    <xdr:to>
      <xdr:col>6</xdr:col>
      <xdr:colOff>96895</xdr:colOff>
      <xdr:row>11</xdr:row>
      <xdr:rowOff>160867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EDF7BA0-70C0-49E2-A93B-41C8F6E1E13F}"/>
            </a:ext>
          </a:extLst>
        </xdr:cNvPr>
        <xdr:cNvSpPr/>
      </xdr:nvSpPr>
      <xdr:spPr>
        <a:xfrm>
          <a:off x="2958628" y="1532467"/>
          <a:ext cx="1828800" cy="67733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7A7BB-93F4-48C5-825A-D7EBCE5C2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AAED9C-E09E-42F3-A381-699E1B0D0D64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84938</xdr:rowOff>
    </xdr:from>
    <xdr:to>
      <xdr:col>1</xdr:col>
      <xdr:colOff>1600248</xdr:colOff>
      <xdr:row>11</xdr:row>
      <xdr:rowOff>17151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B569FF-ADE6-4572-A89B-DAE53CD3287E}"/>
            </a:ext>
          </a:extLst>
        </xdr:cNvPr>
        <xdr:cNvSpPr txBox="1"/>
      </xdr:nvSpPr>
      <xdr:spPr>
        <a:xfrm>
          <a:off x="791132" y="1764448"/>
          <a:ext cx="1112361" cy="30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12</xdr:row>
      <xdr:rowOff>2126</xdr:rowOff>
    </xdr:from>
    <xdr:to>
      <xdr:col>1</xdr:col>
      <xdr:colOff>1600248</xdr:colOff>
      <xdr:row>13</xdr:row>
      <xdr:rowOff>111537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4CECF3-F2B6-44D5-A7FB-DCA69D967FB8}"/>
            </a:ext>
          </a:extLst>
        </xdr:cNvPr>
        <xdr:cNvSpPr txBox="1"/>
      </xdr:nvSpPr>
      <xdr:spPr>
        <a:xfrm>
          <a:off x="791132" y="2241473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594</xdr:rowOff>
    </xdr:from>
    <xdr:to>
      <xdr:col>1</xdr:col>
      <xdr:colOff>1600248</xdr:colOff>
      <xdr:row>15</xdr:row>
      <xdr:rowOff>110607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1264FA-49DE-4A55-8E7B-421D16FE6DAF}"/>
            </a:ext>
          </a:extLst>
        </xdr:cNvPr>
        <xdr:cNvSpPr txBox="1"/>
      </xdr:nvSpPr>
      <xdr:spPr>
        <a:xfrm>
          <a:off x="791132" y="2714765"/>
          <a:ext cx="1112361" cy="305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95582</xdr:rowOff>
    </xdr:from>
    <xdr:to>
      <xdr:col>1</xdr:col>
      <xdr:colOff>1600248</xdr:colOff>
      <xdr:row>18</xdr:row>
      <xdr:rowOff>24408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AD6C75-3A22-4AB0-B89B-6C6ED810D979}"/>
            </a:ext>
          </a:extLst>
        </xdr:cNvPr>
        <xdr:cNvSpPr txBox="1"/>
      </xdr:nvSpPr>
      <xdr:spPr>
        <a:xfrm>
          <a:off x="791132" y="3191790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9383</xdr:rowOff>
    </xdr:from>
    <xdr:to>
      <xdr:col>1</xdr:col>
      <xdr:colOff>1600248</xdr:colOff>
      <xdr:row>20</xdr:row>
      <xdr:rowOff>127862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3EB57A-E5E3-489A-A561-8170DB2EF142}"/>
            </a:ext>
          </a:extLst>
        </xdr:cNvPr>
        <xdr:cNvSpPr txBox="1"/>
      </xdr:nvSpPr>
      <xdr:spPr>
        <a:xfrm>
          <a:off x="791132" y="3665082"/>
          <a:ext cx="1112361" cy="30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21</xdr:row>
      <xdr:rowOff>112837</xdr:rowOff>
    </xdr:from>
    <xdr:to>
      <xdr:col>1</xdr:col>
      <xdr:colOff>1600248</xdr:colOff>
      <xdr:row>23</xdr:row>
      <xdr:rowOff>45395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86B944-0628-49C4-9801-73B97BB4C0AD}"/>
            </a:ext>
          </a:extLst>
        </xdr:cNvPr>
        <xdr:cNvSpPr txBox="1"/>
      </xdr:nvSpPr>
      <xdr:spPr>
        <a:xfrm>
          <a:off x="791132" y="4142106"/>
          <a:ext cx="1112361" cy="305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24</xdr:row>
      <xdr:rowOff>30370</xdr:rowOff>
    </xdr:from>
    <xdr:to>
      <xdr:col>1</xdr:col>
      <xdr:colOff>1600248</xdr:colOff>
      <xdr:row>25</xdr:row>
      <xdr:rowOff>148850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C22B6E-7571-4C99-A761-5303DE12B659}"/>
            </a:ext>
          </a:extLst>
        </xdr:cNvPr>
        <xdr:cNvSpPr txBox="1"/>
      </xdr:nvSpPr>
      <xdr:spPr>
        <a:xfrm>
          <a:off x="791132" y="4619131"/>
          <a:ext cx="1112361" cy="305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26</xdr:row>
      <xdr:rowOff>133827</xdr:rowOff>
    </xdr:from>
    <xdr:to>
      <xdr:col>1</xdr:col>
      <xdr:colOff>1600248</xdr:colOff>
      <xdr:row>28</xdr:row>
      <xdr:rowOff>62654</xdr:rowOff>
    </xdr:to>
    <xdr:sp macro="" textlink="">
      <xdr:nvSpPr>
        <xdr:cNvPr id="12" name="TextBox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D40235-A0AF-4565-AB9A-24E124396712}"/>
            </a:ext>
          </a:extLst>
        </xdr:cNvPr>
        <xdr:cNvSpPr txBox="1"/>
      </xdr:nvSpPr>
      <xdr:spPr>
        <a:xfrm>
          <a:off x="791132" y="5096158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98667</xdr:rowOff>
    </xdr:from>
    <xdr:to>
      <xdr:col>1</xdr:col>
      <xdr:colOff>497437</xdr:colOff>
      <xdr:row>11</xdr:row>
      <xdr:rowOff>5129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C856204-AF47-47F3-862F-DAE363F5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34036"/>
          <a:ext cx="273319" cy="269878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12</xdr:row>
      <xdr:rowOff>12478</xdr:rowOff>
    </xdr:from>
    <xdr:to>
      <xdr:col>1</xdr:col>
      <xdr:colOff>552824</xdr:colOff>
      <xdr:row>13</xdr:row>
      <xdr:rowOff>158620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637ED0-ED3B-445A-B318-544A02C8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192970"/>
          <a:ext cx="328706" cy="33353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61583</xdr:rowOff>
    </xdr:from>
    <xdr:to>
      <xdr:col>1</xdr:col>
      <xdr:colOff>478117</xdr:colOff>
      <xdr:row>15</xdr:row>
      <xdr:rowOff>143261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BEC3C96-A069-4DDA-835B-A2F009A2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15558"/>
          <a:ext cx="253999" cy="25882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150609</xdr:rowOff>
    </xdr:from>
    <xdr:to>
      <xdr:col>1</xdr:col>
      <xdr:colOff>478117</xdr:colOff>
      <xdr:row>18</xdr:row>
      <xdr:rowOff>39047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3A3966C-2B74-4DDA-B6D9-D3B83EEAA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63440"/>
          <a:ext cx="253999" cy="25641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46396</xdr:rowOff>
    </xdr:from>
    <xdr:to>
      <xdr:col>1</xdr:col>
      <xdr:colOff>488725</xdr:colOff>
      <xdr:row>20</xdr:row>
      <xdr:rowOff>130356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1A7875C-7525-4D9A-B5DE-FC98081C0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08908"/>
          <a:ext cx="264607" cy="261110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21</xdr:row>
      <xdr:rowOff>137705</xdr:rowOff>
    </xdr:from>
    <xdr:to>
      <xdr:col>1</xdr:col>
      <xdr:colOff>464442</xdr:colOff>
      <xdr:row>23</xdr:row>
      <xdr:rowOff>10054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73EBD3-4820-4B70-A651-AE1AC63E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59074"/>
          <a:ext cx="240324" cy="24032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24</xdr:row>
      <xdr:rowOff>17402</xdr:rowOff>
    </xdr:from>
    <xdr:to>
      <xdr:col>1</xdr:col>
      <xdr:colOff>517192</xdr:colOff>
      <xdr:row>25</xdr:row>
      <xdr:rowOff>133328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1F872F1-6F16-48F2-A30C-0F2F9268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488454"/>
          <a:ext cx="293074" cy="29307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26</xdr:row>
      <xdr:rowOff>140678</xdr:rowOff>
    </xdr:from>
    <xdr:to>
      <xdr:col>1</xdr:col>
      <xdr:colOff>528918</xdr:colOff>
      <xdr:row>28</xdr:row>
      <xdr:rowOff>82063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1054FA8-4431-4D77-940D-B456C7A33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970586"/>
          <a:ext cx="304800" cy="304800"/>
        </a:xfrm>
        <a:prstGeom prst="rect">
          <a:avLst/>
        </a:prstGeom>
      </xdr:spPr>
    </xdr:pic>
    <xdr:clientData/>
  </xdr:twoCellAnchor>
  <xdr:twoCellAnchor editAs="absolute">
    <xdr:from>
      <xdr:col>2</xdr:col>
      <xdr:colOff>251113</xdr:colOff>
      <xdr:row>2</xdr:row>
      <xdr:rowOff>86591</xdr:rowOff>
    </xdr:from>
    <xdr:to>
      <xdr:col>20</xdr:col>
      <xdr:colOff>187890</xdr:colOff>
      <xdr:row>7</xdr:row>
      <xdr:rowOff>43296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35D4178-6E05-4B2A-BABA-DCC45CAA5421}"/>
            </a:ext>
          </a:extLst>
        </xdr:cNvPr>
        <xdr:cNvSpPr txBox="1"/>
      </xdr:nvSpPr>
      <xdr:spPr>
        <a:xfrm>
          <a:off x="2505798" y="462372"/>
          <a:ext cx="10834421" cy="89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INVENTORY MANAGEMENT SYSTEM</a:t>
          </a:r>
          <a:endParaRPr lang="en-IN" sz="4400" b="1"/>
        </a:p>
      </xdr:txBody>
    </xdr:sp>
    <xdr:clientData/>
  </xdr:twoCellAnchor>
  <xdr:twoCellAnchor>
    <xdr:from>
      <xdr:col>6</xdr:col>
      <xdr:colOff>451555</xdr:colOff>
      <xdr:row>8</xdr:row>
      <xdr:rowOff>42334</xdr:rowOff>
    </xdr:from>
    <xdr:to>
      <xdr:col>9</xdr:col>
      <xdr:colOff>451555</xdr:colOff>
      <xdr:row>11</xdr:row>
      <xdr:rowOff>160867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5B69D04-1E70-4F76-922D-70DD86FF5114}"/>
            </a:ext>
          </a:extLst>
        </xdr:cNvPr>
        <xdr:cNvSpPr/>
      </xdr:nvSpPr>
      <xdr:spPr>
        <a:xfrm>
          <a:off x="5142088" y="1532467"/>
          <a:ext cx="1828800" cy="67733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171214</xdr:colOff>
      <xdr:row>8</xdr:row>
      <xdr:rowOff>33867</xdr:rowOff>
    </xdr:from>
    <xdr:to>
      <xdr:col>13</xdr:col>
      <xdr:colOff>171214</xdr:colOff>
      <xdr:row>11</xdr:row>
      <xdr:rowOff>152400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69EA627-DC23-48E7-AC0F-C5167794F152}"/>
            </a:ext>
          </a:extLst>
        </xdr:cNvPr>
        <xdr:cNvSpPr/>
      </xdr:nvSpPr>
      <xdr:spPr>
        <a:xfrm>
          <a:off x="7300147" y="1524000"/>
          <a:ext cx="1828800" cy="67733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67739</xdr:colOff>
      <xdr:row>8</xdr:row>
      <xdr:rowOff>33867</xdr:rowOff>
    </xdr:from>
    <xdr:to>
      <xdr:col>3</xdr:col>
      <xdr:colOff>135472</xdr:colOff>
      <xdr:row>11</xdr:row>
      <xdr:rowOff>152400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241CB5D-4EB7-48AE-9C71-36FB55C3F6A3}"/>
            </a:ext>
          </a:extLst>
        </xdr:cNvPr>
        <xdr:cNvSpPr/>
      </xdr:nvSpPr>
      <xdr:spPr>
        <a:xfrm>
          <a:off x="2929472" y="1524000"/>
          <a:ext cx="67733" cy="677333"/>
        </a:xfrm>
        <a:prstGeom prst="rect">
          <a:avLst/>
        </a:prstGeom>
        <a:solidFill>
          <a:srgbClr val="FF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447792</xdr:colOff>
      <xdr:row>8</xdr:row>
      <xdr:rowOff>33867</xdr:rowOff>
    </xdr:from>
    <xdr:to>
      <xdr:col>6</xdr:col>
      <xdr:colOff>515525</xdr:colOff>
      <xdr:row>11</xdr:row>
      <xdr:rowOff>152400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032642D-660D-4915-9288-49984CD17C1D}"/>
            </a:ext>
          </a:extLst>
        </xdr:cNvPr>
        <xdr:cNvSpPr/>
      </xdr:nvSpPr>
      <xdr:spPr>
        <a:xfrm>
          <a:off x="5138325" y="1524000"/>
          <a:ext cx="67733" cy="677333"/>
        </a:xfrm>
        <a:prstGeom prst="rect">
          <a:avLst/>
        </a:prstGeom>
        <a:solidFill>
          <a:srgbClr val="FF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108190</xdr:colOff>
      <xdr:row>8</xdr:row>
      <xdr:rowOff>33867</xdr:rowOff>
    </xdr:from>
    <xdr:to>
      <xdr:col>10</xdr:col>
      <xdr:colOff>175923</xdr:colOff>
      <xdr:row>11</xdr:row>
      <xdr:rowOff>152400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B840DF5-A64F-432A-8A24-67C7B5848F3F}"/>
            </a:ext>
          </a:extLst>
        </xdr:cNvPr>
        <xdr:cNvSpPr/>
      </xdr:nvSpPr>
      <xdr:spPr>
        <a:xfrm>
          <a:off x="7237123" y="1524000"/>
          <a:ext cx="67733" cy="677333"/>
        </a:xfrm>
        <a:prstGeom prst="rect">
          <a:avLst/>
        </a:prstGeom>
        <a:solidFill>
          <a:srgbClr val="FF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500473</xdr:colOff>
      <xdr:row>8</xdr:row>
      <xdr:rowOff>42334</xdr:rowOff>
    </xdr:from>
    <xdr:to>
      <xdr:col>16</xdr:col>
      <xdr:colOff>500473</xdr:colOff>
      <xdr:row>11</xdr:row>
      <xdr:rowOff>160867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858CB93-8AB0-46F6-8F0C-828E3B251E30}"/>
            </a:ext>
          </a:extLst>
        </xdr:cNvPr>
        <xdr:cNvSpPr/>
      </xdr:nvSpPr>
      <xdr:spPr>
        <a:xfrm>
          <a:off x="9458206" y="1532467"/>
          <a:ext cx="1828800" cy="67733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445914</xdr:colOff>
      <xdr:row>8</xdr:row>
      <xdr:rowOff>42334</xdr:rowOff>
    </xdr:from>
    <xdr:to>
      <xdr:col>13</xdr:col>
      <xdr:colOff>513647</xdr:colOff>
      <xdr:row>11</xdr:row>
      <xdr:rowOff>160867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F7CB25D-579E-4B7D-AE1C-1B98C7E81D8C}"/>
            </a:ext>
          </a:extLst>
        </xdr:cNvPr>
        <xdr:cNvSpPr/>
      </xdr:nvSpPr>
      <xdr:spPr>
        <a:xfrm>
          <a:off x="9403647" y="1532467"/>
          <a:ext cx="67733" cy="677333"/>
        </a:xfrm>
        <a:prstGeom prst="rect">
          <a:avLst/>
        </a:prstGeom>
        <a:solidFill>
          <a:srgbClr val="FF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220133</xdr:colOff>
      <xdr:row>8</xdr:row>
      <xdr:rowOff>25400</xdr:rowOff>
    </xdr:from>
    <xdr:to>
      <xdr:col>20</xdr:col>
      <xdr:colOff>220133</xdr:colOff>
      <xdr:row>11</xdr:row>
      <xdr:rowOff>143933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65704CE-EC55-4FA9-A500-102B9EF7BDA8}"/>
            </a:ext>
          </a:extLst>
        </xdr:cNvPr>
        <xdr:cNvSpPr/>
      </xdr:nvSpPr>
      <xdr:spPr>
        <a:xfrm>
          <a:off x="11616266" y="1515533"/>
          <a:ext cx="1828800" cy="677333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262467</xdr:colOff>
      <xdr:row>8</xdr:row>
      <xdr:rowOff>67733</xdr:rowOff>
    </xdr:from>
    <xdr:to>
      <xdr:col>6</xdr:col>
      <xdr:colOff>67734</xdr:colOff>
      <xdr:row>10</xdr:row>
      <xdr:rowOff>76199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1BECCD8-FA07-4750-AFD4-8B393C365923}"/>
            </a:ext>
          </a:extLst>
        </xdr:cNvPr>
        <xdr:cNvSpPr txBox="1"/>
      </xdr:nvSpPr>
      <xdr:spPr>
        <a:xfrm>
          <a:off x="3124200" y="1557866"/>
          <a:ext cx="1634067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Total Customers</a:t>
          </a:r>
        </a:p>
      </xdr:txBody>
    </xdr:sp>
    <xdr:clientData/>
  </xdr:twoCellAnchor>
  <xdr:twoCellAnchor>
    <xdr:from>
      <xdr:col>17</xdr:col>
      <xdr:colOff>207903</xdr:colOff>
      <xdr:row>8</xdr:row>
      <xdr:rowOff>25401</xdr:rowOff>
    </xdr:from>
    <xdr:to>
      <xdr:col>17</xdr:col>
      <xdr:colOff>275636</xdr:colOff>
      <xdr:row>11</xdr:row>
      <xdr:rowOff>143934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ADF587E-852B-4824-80FD-EC9C1ABBB852}"/>
            </a:ext>
          </a:extLst>
        </xdr:cNvPr>
        <xdr:cNvSpPr/>
      </xdr:nvSpPr>
      <xdr:spPr>
        <a:xfrm>
          <a:off x="11604036" y="1515534"/>
          <a:ext cx="67733" cy="677333"/>
        </a:xfrm>
        <a:prstGeom prst="rect">
          <a:avLst/>
        </a:prstGeom>
        <a:solidFill>
          <a:srgbClr val="FF0000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440267</xdr:colOff>
      <xdr:row>10</xdr:row>
      <xdr:rowOff>0</xdr:rowOff>
    </xdr:from>
    <xdr:to>
      <xdr:col>5</xdr:col>
      <xdr:colOff>440267</xdr:colOff>
      <xdr:row>11</xdr:row>
      <xdr:rowOff>118534</xdr:rowOff>
    </xdr:to>
    <xdr:sp macro="" textlink="Pivot!D5">
      <xdr:nvSpPr>
        <xdr:cNvPr id="43" name="Rectangle 42">
          <a:extLst>
            <a:ext uri="{FF2B5EF4-FFF2-40B4-BE49-F238E27FC236}">
              <a16:creationId xmlns:a16="http://schemas.microsoft.com/office/drawing/2014/main" id="{26B85A7C-3F1E-4F10-9BE4-DE68BF04E670}"/>
            </a:ext>
          </a:extLst>
        </xdr:cNvPr>
        <xdr:cNvSpPr/>
      </xdr:nvSpPr>
      <xdr:spPr>
        <a:xfrm>
          <a:off x="3302000" y="1862667"/>
          <a:ext cx="12192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170D4D4-1985-4266-8352-C3E80788D765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</a:t>
          </a:fld>
          <a:endParaRPr lang="en-IN" sz="1800"/>
        </a:p>
      </xdr:txBody>
    </xdr:sp>
    <xdr:clientData/>
  </xdr:twoCellAnchor>
  <xdr:twoCellAnchor>
    <xdr:from>
      <xdr:col>7</xdr:col>
      <xdr:colOff>152400</xdr:colOff>
      <xdr:row>9</xdr:row>
      <xdr:rowOff>169335</xdr:rowOff>
    </xdr:from>
    <xdr:to>
      <xdr:col>9</xdr:col>
      <xdr:colOff>152400</xdr:colOff>
      <xdr:row>11</xdr:row>
      <xdr:rowOff>101602</xdr:rowOff>
    </xdr:to>
    <xdr:sp macro="" textlink="Pivot!D9">
      <xdr:nvSpPr>
        <xdr:cNvPr id="45" name="Rectangle 44">
          <a:extLst>
            <a:ext uri="{FF2B5EF4-FFF2-40B4-BE49-F238E27FC236}">
              <a16:creationId xmlns:a16="http://schemas.microsoft.com/office/drawing/2014/main" id="{D32EDCF2-F639-4B2E-8700-016BAE202F0A}"/>
            </a:ext>
          </a:extLst>
        </xdr:cNvPr>
        <xdr:cNvSpPr/>
      </xdr:nvSpPr>
      <xdr:spPr>
        <a:xfrm>
          <a:off x="5452533" y="1845735"/>
          <a:ext cx="12192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25AC9C0-8339-41F9-8151-81A003C8969D}" type="TxLink">
            <a:rPr lang="en-US" sz="2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10</a:t>
          </a:fld>
          <a:endParaRPr lang="en-IN" sz="2000"/>
        </a:p>
      </xdr:txBody>
    </xdr:sp>
    <xdr:clientData/>
  </xdr:twoCellAnchor>
  <xdr:twoCellAnchor>
    <xdr:from>
      <xdr:col>10</xdr:col>
      <xdr:colOff>482600</xdr:colOff>
      <xdr:row>9</xdr:row>
      <xdr:rowOff>143933</xdr:rowOff>
    </xdr:from>
    <xdr:to>
      <xdr:col>12</xdr:col>
      <xdr:colOff>482600</xdr:colOff>
      <xdr:row>11</xdr:row>
      <xdr:rowOff>76200</xdr:rowOff>
    </xdr:to>
    <xdr:sp macro="" textlink="Pivot!F12">
      <xdr:nvSpPr>
        <xdr:cNvPr id="46" name="Rectangle 45">
          <a:extLst>
            <a:ext uri="{FF2B5EF4-FFF2-40B4-BE49-F238E27FC236}">
              <a16:creationId xmlns:a16="http://schemas.microsoft.com/office/drawing/2014/main" id="{B3552DBD-F0F9-4819-BAE1-D720BC451939}"/>
            </a:ext>
          </a:extLst>
        </xdr:cNvPr>
        <xdr:cNvSpPr/>
      </xdr:nvSpPr>
      <xdr:spPr>
        <a:xfrm>
          <a:off x="7611533" y="1820333"/>
          <a:ext cx="12192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27443DC-8829-48D4-95CB-D63601701A23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₹249,460</a:t>
          </a:fld>
          <a:endParaRPr lang="en-IN" sz="1800" b="0"/>
        </a:p>
      </xdr:txBody>
    </xdr:sp>
    <xdr:clientData/>
  </xdr:twoCellAnchor>
  <xdr:twoCellAnchor>
    <xdr:from>
      <xdr:col>14</xdr:col>
      <xdr:colOff>194731</xdr:colOff>
      <xdr:row>9</xdr:row>
      <xdr:rowOff>177799</xdr:rowOff>
    </xdr:from>
    <xdr:to>
      <xdr:col>16</xdr:col>
      <xdr:colOff>287866</xdr:colOff>
      <xdr:row>11</xdr:row>
      <xdr:rowOff>110066</xdr:rowOff>
    </xdr:to>
    <xdr:sp macro="" textlink="Pivot!D16">
      <xdr:nvSpPr>
        <xdr:cNvPr id="47" name="Rectangle 46">
          <a:extLst>
            <a:ext uri="{FF2B5EF4-FFF2-40B4-BE49-F238E27FC236}">
              <a16:creationId xmlns:a16="http://schemas.microsoft.com/office/drawing/2014/main" id="{2EC837EC-458B-4BA0-861B-2950FB9C3F57}"/>
            </a:ext>
          </a:extLst>
        </xdr:cNvPr>
        <xdr:cNvSpPr/>
      </xdr:nvSpPr>
      <xdr:spPr>
        <a:xfrm>
          <a:off x="9762064" y="1854199"/>
          <a:ext cx="131233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3C096FC-BF32-44AE-9E45-FA8DC0C08A95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₹1,496,760</a:t>
          </a:fld>
          <a:endParaRPr lang="en-IN" sz="1800"/>
        </a:p>
      </xdr:txBody>
    </xdr:sp>
    <xdr:clientData/>
  </xdr:twoCellAnchor>
  <xdr:twoCellAnchor>
    <xdr:from>
      <xdr:col>17</xdr:col>
      <xdr:colOff>541867</xdr:colOff>
      <xdr:row>9</xdr:row>
      <xdr:rowOff>169336</xdr:rowOff>
    </xdr:from>
    <xdr:to>
      <xdr:col>20</xdr:col>
      <xdr:colOff>8467</xdr:colOff>
      <xdr:row>11</xdr:row>
      <xdr:rowOff>101603</xdr:rowOff>
    </xdr:to>
    <xdr:sp macro="" textlink="Pivot!D26">
      <xdr:nvSpPr>
        <xdr:cNvPr id="48" name="Rectangle 47">
          <a:extLst>
            <a:ext uri="{FF2B5EF4-FFF2-40B4-BE49-F238E27FC236}">
              <a16:creationId xmlns:a16="http://schemas.microsoft.com/office/drawing/2014/main" id="{B8BFD3A4-302B-45D9-90A2-318C9D2592D0}"/>
            </a:ext>
          </a:extLst>
        </xdr:cNvPr>
        <xdr:cNvSpPr/>
      </xdr:nvSpPr>
      <xdr:spPr>
        <a:xfrm>
          <a:off x="11938000" y="1845736"/>
          <a:ext cx="129540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7C796A4-6139-45A1-847C-C6BACB57E245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₹1,648,187</a:t>
          </a:fld>
          <a:endParaRPr lang="en-IN" sz="1800"/>
        </a:p>
      </xdr:txBody>
    </xdr:sp>
    <xdr:clientData/>
  </xdr:twoCellAnchor>
  <xdr:twoCellAnchor>
    <xdr:from>
      <xdr:col>6</xdr:col>
      <xdr:colOff>558800</xdr:colOff>
      <xdr:row>8</xdr:row>
      <xdr:rowOff>50799</xdr:rowOff>
    </xdr:from>
    <xdr:to>
      <xdr:col>9</xdr:col>
      <xdr:colOff>364067</xdr:colOff>
      <xdr:row>10</xdr:row>
      <xdr:rowOff>59265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5C5B7F4-C0C6-499C-BC21-D40791DDA198}"/>
            </a:ext>
          </a:extLst>
        </xdr:cNvPr>
        <xdr:cNvSpPr txBox="1"/>
      </xdr:nvSpPr>
      <xdr:spPr>
        <a:xfrm>
          <a:off x="5249333" y="1540932"/>
          <a:ext cx="1634067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 Products</a:t>
          </a:r>
        </a:p>
      </xdr:txBody>
    </xdr:sp>
    <xdr:clientData/>
  </xdr:twoCellAnchor>
  <xdr:twoCellAnchor>
    <xdr:from>
      <xdr:col>10</xdr:col>
      <xdr:colOff>296333</xdr:colOff>
      <xdr:row>8</xdr:row>
      <xdr:rowOff>50798</xdr:rowOff>
    </xdr:from>
    <xdr:to>
      <xdr:col>13</xdr:col>
      <xdr:colOff>101600</xdr:colOff>
      <xdr:row>9</xdr:row>
      <xdr:rowOff>177800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1CC07E-2911-465D-AAA7-31A68A1D3DFF}"/>
            </a:ext>
          </a:extLst>
        </xdr:cNvPr>
        <xdr:cNvSpPr txBox="1"/>
      </xdr:nvSpPr>
      <xdr:spPr>
        <a:xfrm>
          <a:off x="7425266" y="1540931"/>
          <a:ext cx="1634067" cy="3132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Profit/Loss</a:t>
          </a:r>
        </a:p>
      </xdr:txBody>
    </xdr:sp>
    <xdr:clientData/>
  </xdr:twoCellAnchor>
  <xdr:twoCellAnchor>
    <xdr:from>
      <xdr:col>13</xdr:col>
      <xdr:colOff>592666</xdr:colOff>
      <xdr:row>8</xdr:row>
      <xdr:rowOff>59265</xdr:rowOff>
    </xdr:from>
    <xdr:to>
      <xdr:col>16</xdr:col>
      <xdr:colOff>397933</xdr:colOff>
      <xdr:row>10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4C4DCC8-37E7-41DF-9B5B-994A04B7B276}"/>
            </a:ext>
          </a:extLst>
        </xdr:cNvPr>
        <xdr:cNvSpPr txBox="1"/>
      </xdr:nvSpPr>
      <xdr:spPr>
        <a:xfrm>
          <a:off x="9550399" y="1549398"/>
          <a:ext cx="1634067" cy="3132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r>
            <a:rPr lang="en-IN" sz="1600" b="1" baseline="0"/>
            <a:t> Sales</a:t>
          </a:r>
          <a:endParaRPr lang="en-IN" sz="1600" b="1"/>
        </a:p>
      </xdr:txBody>
    </xdr:sp>
    <xdr:clientData/>
  </xdr:twoCellAnchor>
  <xdr:twoCellAnchor>
    <xdr:from>
      <xdr:col>17</xdr:col>
      <xdr:colOff>330199</xdr:colOff>
      <xdr:row>8</xdr:row>
      <xdr:rowOff>33864</xdr:rowOff>
    </xdr:from>
    <xdr:to>
      <xdr:col>20</xdr:col>
      <xdr:colOff>135466</xdr:colOff>
      <xdr:row>10</xdr:row>
      <xdr:rowOff>42330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0D788D6-312F-48F1-A025-1930E2D8D445}"/>
            </a:ext>
          </a:extLst>
        </xdr:cNvPr>
        <xdr:cNvSpPr txBox="1"/>
      </xdr:nvSpPr>
      <xdr:spPr>
        <a:xfrm>
          <a:off x="11726332" y="1523997"/>
          <a:ext cx="1634067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Stock</a:t>
          </a:r>
          <a:r>
            <a:rPr lang="en-IN" sz="1600" b="1" baseline="0"/>
            <a:t> Amount</a:t>
          </a:r>
          <a:endParaRPr lang="en-IN" sz="1600" b="1"/>
        </a:p>
      </xdr:txBody>
    </xdr:sp>
    <xdr:clientData/>
  </xdr:twoCellAnchor>
  <xdr:twoCellAnchor>
    <xdr:from>
      <xdr:col>2</xdr:col>
      <xdr:colOff>372358</xdr:colOff>
      <xdr:row>12</xdr:row>
      <xdr:rowOff>127000</xdr:rowOff>
    </xdr:from>
    <xdr:to>
      <xdr:col>9</xdr:col>
      <xdr:colOff>236892</xdr:colOff>
      <xdr:row>28</xdr:row>
      <xdr:rowOff>152400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4D19904-60C5-4896-BEC9-0C37F6906317}"/>
            </a:ext>
          </a:extLst>
        </xdr:cNvPr>
        <xdr:cNvSpPr/>
      </xdr:nvSpPr>
      <xdr:spPr>
        <a:xfrm>
          <a:off x="2634039" y="2364362"/>
          <a:ext cx="4120385" cy="312203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563304</xdr:colOff>
      <xdr:row>12</xdr:row>
      <xdr:rowOff>127000</xdr:rowOff>
    </xdr:from>
    <xdr:to>
      <xdr:col>16</xdr:col>
      <xdr:colOff>427838</xdr:colOff>
      <xdr:row>28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3C9B50C-FA17-40B8-AC72-60143F87B24C}"/>
            </a:ext>
          </a:extLst>
        </xdr:cNvPr>
        <xdr:cNvSpPr/>
      </xdr:nvSpPr>
      <xdr:spPr>
        <a:xfrm>
          <a:off x="7080836" y="2364362"/>
          <a:ext cx="4120385" cy="3122038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447474</xdr:colOff>
      <xdr:row>12</xdr:row>
      <xdr:rowOff>177799</xdr:rowOff>
    </xdr:from>
    <xdr:to>
      <xdr:col>9</xdr:col>
      <xdr:colOff>178162</xdr:colOff>
      <xdr:row>28</xdr:row>
      <xdr:rowOff>84665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FFF4787A-B100-4FA3-9BA0-B2E214073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39275</xdr:colOff>
      <xdr:row>12</xdr:row>
      <xdr:rowOff>186267</xdr:rowOff>
    </xdr:from>
    <xdr:to>
      <xdr:col>16</xdr:col>
      <xdr:colOff>359387</xdr:colOff>
      <xdr:row>28</xdr:row>
      <xdr:rowOff>67734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7AD76E0C-5DE3-4C69-8118-50144B33A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A1BA587-F742-4ECA-B29F-5B13CEFEA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26E8541-DBE8-4EAC-9048-FA7E2F6EDDE8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8</xdr:row>
      <xdr:rowOff>155248</xdr:rowOff>
    </xdr:from>
    <xdr:to>
      <xdr:col>1</xdr:col>
      <xdr:colOff>1600248</xdr:colOff>
      <xdr:row>9</xdr:row>
      <xdr:rowOff>163660</xdr:rowOff>
    </xdr:to>
    <xdr:sp macro="" textlink="">
      <xdr:nvSpPr>
        <xdr:cNvPr id="23" name="TextBox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324183-60F4-4E6D-A0D5-478B491EA48C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10</xdr:row>
      <xdr:rowOff>38570</xdr:rowOff>
    </xdr:from>
    <xdr:to>
      <xdr:col>1</xdr:col>
      <xdr:colOff>1600248</xdr:colOff>
      <xdr:row>11</xdr:row>
      <xdr:rowOff>43597</xdr:rowOff>
    </xdr:to>
    <xdr:sp macro="" textlink="">
      <xdr:nvSpPr>
        <xdr:cNvPr id="24" name="TextBox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8C0880-07B8-4ACB-9473-A5B6147A6B70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11</xdr:row>
      <xdr:rowOff>216678</xdr:rowOff>
    </xdr:from>
    <xdr:to>
      <xdr:col>1</xdr:col>
      <xdr:colOff>1600248</xdr:colOff>
      <xdr:row>12</xdr:row>
      <xdr:rowOff>225092</xdr:rowOff>
    </xdr:to>
    <xdr:sp macro="" textlink="">
      <xdr:nvSpPr>
        <xdr:cNvPr id="25" name="TextBox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AF277F-579A-4EEB-990C-97DFDE18CBF3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13</xdr:row>
      <xdr:rowOff>98159</xdr:rowOff>
    </xdr:from>
    <xdr:to>
      <xdr:col>1</xdr:col>
      <xdr:colOff>1600248</xdr:colOff>
      <xdr:row>14</xdr:row>
      <xdr:rowOff>103186</xdr:rowOff>
    </xdr:to>
    <xdr:sp macro="" textlink="">
      <xdr:nvSpPr>
        <xdr:cNvPr id="26" name="TextBox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F21BAE-0054-4D1F-BCFE-26B8E2936303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276267</xdr:rowOff>
    </xdr:from>
    <xdr:to>
      <xdr:col>1</xdr:col>
      <xdr:colOff>1600248</xdr:colOff>
      <xdr:row>15</xdr:row>
      <xdr:rowOff>284679</xdr:rowOff>
    </xdr:to>
    <xdr:sp macro="" textlink="">
      <xdr:nvSpPr>
        <xdr:cNvPr id="27" name="TextBox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0C9D86-5C56-4394-8EE0-7185B15E3C64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16</xdr:row>
      <xdr:rowOff>153698</xdr:rowOff>
    </xdr:from>
    <xdr:to>
      <xdr:col>1</xdr:col>
      <xdr:colOff>1600248</xdr:colOff>
      <xdr:row>18</xdr:row>
      <xdr:rowOff>86256</xdr:rowOff>
    </xdr:to>
    <xdr:sp macro="" textlink="">
      <xdr:nvSpPr>
        <xdr:cNvPr id="28" name="TextBox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FFA320-0AA3-4A23-B96B-FF0800825944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71231</xdr:rowOff>
    </xdr:from>
    <xdr:to>
      <xdr:col>1</xdr:col>
      <xdr:colOff>1600248</xdr:colOff>
      <xdr:row>21</xdr:row>
      <xdr:rowOff>7493</xdr:rowOff>
    </xdr:to>
    <xdr:sp macro="" textlink="">
      <xdr:nvSpPr>
        <xdr:cNvPr id="29" name="TextBox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95150D2-800E-43D6-A7BF-9369F99EFFC4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21</xdr:row>
      <xdr:rowOff>174688</xdr:rowOff>
    </xdr:from>
    <xdr:to>
      <xdr:col>1</xdr:col>
      <xdr:colOff>1600248</xdr:colOff>
      <xdr:row>23</xdr:row>
      <xdr:rowOff>103515</xdr:rowOff>
    </xdr:to>
    <xdr:sp macro="" textlink="">
      <xdr:nvSpPr>
        <xdr:cNvPr id="30" name="TextBox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D57BBA-A38E-40A7-8620-47E57BA5E399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8</xdr:row>
      <xdr:rowOff>168977</xdr:rowOff>
    </xdr:from>
    <xdr:to>
      <xdr:col>1</xdr:col>
      <xdr:colOff>497437</xdr:colOff>
      <xdr:row>9</xdr:row>
      <xdr:rowOff>151638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E7522F7-BBB1-4769-82D9-32325EF6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10</xdr:row>
      <xdr:rowOff>48922</xdr:rowOff>
    </xdr:from>
    <xdr:to>
      <xdr:col>1</xdr:col>
      <xdr:colOff>552824</xdr:colOff>
      <xdr:row>11</xdr:row>
      <xdr:rowOff>90680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FA1A9BD-1968-48DE-9B6E-0DAF9A059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11</xdr:row>
      <xdr:rowOff>286134</xdr:rowOff>
    </xdr:from>
    <xdr:to>
      <xdr:col>1</xdr:col>
      <xdr:colOff>478117</xdr:colOff>
      <xdr:row>12</xdr:row>
      <xdr:rowOff>257746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B397652-80D0-406D-B878-16B24A169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13</xdr:row>
      <xdr:rowOff>153186</xdr:rowOff>
    </xdr:from>
    <xdr:to>
      <xdr:col>1</xdr:col>
      <xdr:colOff>478117</xdr:colOff>
      <xdr:row>14</xdr:row>
      <xdr:rowOff>117825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1A9DF02-9812-4842-9D66-724B7F122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15</xdr:row>
      <xdr:rowOff>15106</xdr:rowOff>
    </xdr:from>
    <xdr:to>
      <xdr:col>1</xdr:col>
      <xdr:colOff>488725</xdr:colOff>
      <xdr:row>15</xdr:row>
      <xdr:rowOff>287173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7A8606C-46CA-4AA5-8255-102F6D6E8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22</xdr:row>
      <xdr:rowOff>61505</xdr:rowOff>
    </xdr:from>
    <xdr:to>
      <xdr:col>1</xdr:col>
      <xdr:colOff>464442</xdr:colOff>
      <xdr:row>23</xdr:row>
      <xdr:rowOff>120119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67E734D-B732-4FCC-AB07-ED9958857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62313</xdr:rowOff>
    </xdr:from>
    <xdr:to>
      <xdr:col>1</xdr:col>
      <xdr:colOff>517192</xdr:colOff>
      <xdr:row>20</xdr:row>
      <xdr:rowOff>174188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BECAE4C-9291-4231-825A-C428933A6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21</xdr:row>
      <xdr:rowOff>181539</xdr:rowOff>
    </xdr:from>
    <xdr:to>
      <xdr:col>1</xdr:col>
      <xdr:colOff>528918</xdr:colOff>
      <xdr:row>23</xdr:row>
      <xdr:rowOff>122924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261FD01-2597-48DE-8623-9FFD1F6E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2</xdr:col>
      <xdr:colOff>96073</xdr:colOff>
      <xdr:row>1</xdr:row>
      <xdr:rowOff>20332</xdr:rowOff>
    </xdr:from>
    <xdr:to>
      <xdr:col>7</xdr:col>
      <xdr:colOff>74544</xdr:colOff>
      <xdr:row>5</xdr:row>
      <xdr:rowOff>159254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A460B6A-456A-4E22-BD86-083C5452C3B0}"/>
            </a:ext>
          </a:extLst>
        </xdr:cNvPr>
        <xdr:cNvSpPr txBox="1"/>
      </xdr:nvSpPr>
      <xdr:spPr>
        <a:xfrm>
          <a:off x="2290964" y="202549"/>
          <a:ext cx="8468145" cy="8677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CUSTOMERS</a:t>
          </a:r>
        </a:p>
      </xdr:txBody>
    </xdr:sp>
    <xdr:clientData/>
  </xdr:twoCellAnchor>
  <xdr:twoCellAnchor editAs="absolute">
    <xdr:from>
      <xdr:col>1</xdr:col>
      <xdr:colOff>209284</xdr:colOff>
      <xdr:row>16</xdr:row>
      <xdr:rowOff>173581</xdr:rowOff>
    </xdr:from>
    <xdr:to>
      <xdr:col>1</xdr:col>
      <xdr:colOff>449608</xdr:colOff>
      <xdr:row>18</xdr:row>
      <xdr:rowOff>51518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08E7467-FB44-4998-ABCA-FD8F6D55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157" y="4110503"/>
          <a:ext cx="240324" cy="2426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1E32022-659D-49E6-A0D0-15E6373EE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A69AF1-40E8-4C73-8C5A-F62D48121AA9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271</xdr:rowOff>
    </xdr:from>
    <xdr:to>
      <xdr:col>1</xdr:col>
      <xdr:colOff>1600248</xdr:colOff>
      <xdr:row>10</xdr:row>
      <xdr:rowOff>34084</xdr:rowOff>
    </xdr:to>
    <xdr:sp macro="" textlink="">
      <xdr:nvSpPr>
        <xdr:cNvPr id="23" name="TextBox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17FF96-557C-4A55-BF74-1497215F899E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10</xdr:row>
      <xdr:rowOff>205326</xdr:rowOff>
    </xdr:from>
    <xdr:to>
      <xdr:col>1</xdr:col>
      <xdr:colOff>1600248</xdr:colOff>
      <xdr:row>11</xdr:row>
      <xdr:rowOff>235753</xdr:rowOff>
    </xdr:to>
    <xdr:sp macro="" textlink="">
      <xdr:nvSpPr>
        <xdr:cNvPr id="24" name="TextBox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B5710D-0F08-440B-966A-81B4738E9567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12</xdr:row>
      <xdr:rowOff>136060</xdr:rowOff>
    </xdr:from>
    <xdr:to>
      <xdr:col>1</xdr:col>
      <xdr:colOff>1600248</xdr:colOff>
      <xdr:row>13</xdr:row>
      <xdr:rowOff>169874</xdr:rowOff>
    </xdr:to>
    <xdr:sp macro="" textlink="">
      <xdr:nvSpPr>
        <xdr:cNvPr id="25" name="TextBox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ADEC3D-39CF-4F23-98CE-48932BCF0396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70182</xdr:rowOff>
    </xdr:from>
    <xdr:to>
      <xdr:col>1</xdr:col>
      <xdr:colOff>1600248</xdr:colOff>
      <xdr:row>15</xdr:row>
      <xdr:rowOff>100608</xdr:rowOff>
    </xdr:to>
    <xdr:sp macro="" textlink="">
      <xdr:nvSpPr>
        <xdr:cNvPr id="26" name="TextBox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6E89DF-A6A6-4D08-BCF0-DD2582761225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916</xdr:rowOff>
    </xdr:from>
    <xdr:to>
      <xdr:col>1</xdr:col>
      <xdr:colOff>1600248</xdr:colOff>
      <xdr:row>17</xdr:row>
      <xdr:rowOff>34729</xdr:rowOff>
    </xdr:to>
    <xdr:sp macro="" textlink="">
      <xdr:nvSpPr>
        <xdr:cNvPr id="27" name="TextBox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358A05-E677-4817-B80B-11C7359CCF4D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17</xdr:row>
      <xdr:rowOff>205971</xdr:rowOff>
    </xdr:from>
    <xdr:to>
      <xdr:col>1</xdr:col>
      <xdr:colOff>1600248</xdr:colOff>
      <xdr:row>18</xdr:row>
      <xdr:rowOff>240128</xdr:rowOff>
    </xdr:to>
    <xdr:sp macro="" textlink="">
      <xdr:nvSpPr>
        <xdr:cNvPr id="28" name="TextBox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1734D1-70F8-453E-B2A6-1A8E6B4C0B28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140437</xdr:rowOff>
    </xdr:from>
    <xdr:to>
      <xdr:col>1</xdr:col>
      <xdr:colOff>1600248</xdr:colOff>
      <xdr:row>21</xdr:row>
      <xdr:rowOff>72650</xdr:rowOff>
    </xdr:to>
    <xdr:sp macro="" textlink="">
      <xdr:nvSpPr>
        <xdr:cNvPr id="29" name="TextBox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D6A57DE-05BF-4541-B5F3-FBAC945D49CC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22</xdr:row>
      <xdr:rowOff>57627</xdr:rowOff>
    </xdr:from>
    <xdr:to>
      <xdr:col>1</xdr:col>
      <xdr:colOff>1600248</xdr:colOff>
      <xdr:row>23</xdr:row>
      <xdr:rowOff>172720</xdr:rowOff>
    </xdr:to>
    <xdr:sp macro="" textlink="">
      <xdr:nvSpPr>
        <xdr:cNvPr id="30" name="TextBox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C81112-8DAC-40A5-A792-6694760492D5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14000</xdr:rowOff>
    </xdr:from>
    <xdr:to>
      <xdr:col>1</xdr:col>
      <xdr:colOff>497437</xdr:colOff>
      <xdr:row>10</xdr:row>
      <xdr:rowOff>22062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A2090DD-C39C-44BA-8D37-7D9C63F56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10</xdr:row>
      <xdr:rowOff>215678</xdr:rowOff>
    </xdr:from>
    <xdr:to>
      <xdr:col>1</xdr:col>
      <xdr:colOff>552824</xdr:colOff>
      <xdr:row>12</xdr:row>
      <xdr:rowOff>11902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FFE4FD9-DE9A-4CF8-90E1-B7893E176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12</xdr:row>
      <xdr:rowOff>205516</xdr:rowOff>
    </xdr:from>
    <xdr:to>
      <xdr:col>1</xdr:col>
      <xdr:colOff>478117</xdr:colOff>
      <xdr:row>13</xdr:row>
      <xdr:rowOff>202528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543A083-B24A-4D73-A5B4-256395832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125209</xdr:rowOff>
    </xdr:from>
    <xdr:to>
      <xdr:col>1</xdr:col>
      <xdr:colOff>478117</xdr:colOff>
      <xdr:row>15</xdr:row>
      <xdr:rowOff>115247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B31D42B-6F5D-46A3-8046-60CF03BE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37929</xdr:rowOff>
    </xdr:from>
    <xdr:to>
      <xdr:col>1</xdr:col>
      <xdr:colOff>488725</xdr:colOff>
      <xdr:row>17</xdr:row>
      <xdr:rowOff>37223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D9F7212-4922-4924-825F-E1AF94FD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17</xdr:row>
      <xdr:rowOff>230839</xdr:rowOff>
    </xdr:from>
    <xdr:to>
      <xdr:col>1</xdr:col>
      <xdr:colOff>464442</xdr:colOff>
      <xdr:row>18</xdr:row>
      <xdr:rowOff>204787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BF45556-3AEF-41AE-BA87-08F28D1C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127469</xdr:rowOff>
    </xdr:from>
    <xdr:to>
      <xdr:col>1</xdr:col>
      <xdr:colOff>517192</xdr:colOff>
      <xdr:row>21</xdr:row>
      <xdr:rowOff>57128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DAC0B97-3FA6-40ED-A4C8-45067F21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22</xdr:row>
      <xdr:rowOff>64478</xdr:rowOff>
    </xdr:from>
    <xdr:to>
      <xdr:col>1</xdr:col>
      <xdr:colOff>528918</xdr:colOff>
      <xdr:row>24</xdr:row>
      <xdr:rowOff>5863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E0C2FDD-9723-466E-A25B-7EAB8B5C0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3</xdr:col>
      <xdr:colOff>5579</xdr:colOff>
      <xdr:row>2</xdr:row>
      <xdr:rowOff>86591</xdr:rowOff>
    </xdr:from>
    <xdr:to>
      <xdr:col>15</xdr:col>
      <xdr:colOff>331739</xdr:colOff>
      <xdr:row>7</xdr:row>
      <xdr:rowOff>43296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E1F536B-B41C-42AD-BDAE-DCED91983E78}"/>
            </a:ext>
          </a:extLst>
        </xdr:cNvPr>
        <xdr:cNvSpPr txBox="1"/>
      </xdr:nvSpPr>
      <xdr:spPr>
        <a:xfrm>
          <a:off x="2506633" y="452351"/>
          <a:ext cx="12619760" cy="87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PRODUCTS</a:t>
          </a:r>
          <a:endParaRPr lang="en-IN" sz="44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77DC006-A8BC-44CC-A845-95953B150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316F6D3-06AD-4138-B1AE-26B5374BBDC5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271</xdr:rowOff>
    </xdr:from>
    <xdr:to>
      <xdr:col>1</xdr:col>
      <xdr:colOff>1600248</xdr:colOff>
      <xdr:row>10</xdr:row>
      <xdr:rowOff>34084</xdr:rowOff>
    </xdr:to>
    <xdr:sp macro="" textlink="">
      <xdr:nvSpPr>
        <xdr:cNvPr id="23" name="TextBox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C8C4D-1D4C-460B-860F-FA5E75B82683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10</xdr:row>
      <xdr:rowOff>205326</xdr:rowOff>
    </xdr:from>
    <xdr:to>
      <xdr:col>1</xdr:col>
      <xdr:colOff>1600248</xdr:colOff>
      <xdr:row>11</xdr:row>
      <xdr:rowOff>235753</xdr:rowOff>
    </xdr:to>
    <xdr:sp macro="" textlink="">
      <xdr:nvSpPr>
        <xdr:cNvPr id="24" name="TextBox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A2E6B0-606D-44E7-9FD4-0997C5B3E083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12</xdr:row>
      <xdr:rowOff>136060</xdr:rowOff>
    </xdr:from>
    <xdr:to>
      <xdr:col>1</xdr:col>
      <xdr:colOff>1600248</xdr:colOff>
      <xdr:row>13</xdr:row>
      <xdr:rowOff>169874</xdr:rowOff>
    </xdr:to>
    <xdr:sp macro="" textlink="">
      <xdr:nvSpPr>
        <xdr:cNvPr id="25" name="TextBox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D2677D-2E70-4892-A33E-15B2482B9AE3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70182</xdr:rowOff>
    </xdr:from>
    <xdr:to>
      <xdr:col>1</xdr:col>
      <xdr:colOff>1600248</xdr:colOff>
      <xdr:row>15</xdr:row>
      <xdr:rowOff>100608</xdr:rowOff>
    </xdr:to>
    <xdr:sp macro="" textlink="">
      <xdr:nvSpPr>
        <xdr:cNvPr id="26" name="TextBox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D09B72-867D-46DB-A91B-2E0A3049223C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916</xdr:rowOff>
    </xdr:from>
    <xdr:to>
      <xdr:col>1</xdr:col>
      <xdr:colOff>1600248</xdr:colOff>
      <xdr:row>17</xdr:row>
      <xdr:rowOff>34729</xdr:rowOff>
    </xdr:to>
    <xdr:sp macro="" textlink="">
      <xdr:nvSpPr>
        <xdr:cNvPr id="27" name="TextBox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4499599-5CBB-439D-992A-8093380983E5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17</xdr:row>
      <xdr:rowOff>205971</xdr:rowOff>
    </xdr:from>
    <xdr:to>
      <xdr:col>1</xdr:col>
      <xdr:colOff>1600248</xdr:colOff>
      <xdr:row>18</xdr:row>
      <xdr:rowOff>240128</xdr:rowOff>
    </xdr:to>
    <xdr:sp macro="" textlink="">
      <xdr:nvSpPr>
        <xdr:cNvPr id="28" name="TextBox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85620-80E3-4207-93F4-FE011257DDA5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140437</xdr:rowOff>
    </xdr:from>
    <xdr:to>
      <xdr:col>1</xdr:col>
      <xdr:colOff>1600248</xdr:colOff>
      <xdr:row>21</xdr:row>
      <xdr:rowOff>72650</xdr:rowOff>
    </xdr:to>
    <xdr:sp macro="" textlink="">
      <xdr:nvSpPr>
        <xdr:cNvPr id="29" name="TextBox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CC9AA4-685B-4E5C-8DED-0580F42B4C50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22</xdr:row>
      <xdr:rowOff>57627</xdr:rowOff>
    </xdr:from>
    <xdr:to>
      <xdr:col>1</xdr:col>
      <xdr:colOff>1600248</xdr:colOff>
      <xdr:row>23</xdr:row>
      <xdr:rowOff>172720</xdr:rowOff>
    </xdr:to>
    <xdr:sp macro="" textlink="">
      <xdr:nvSpPr>
        <xdr:cNvPr id="30" name="TextBox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8776E8-C9D3-409E-A2C9-C9CD4F0A2829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14000</xdr:rowOff>
    </xdr:from>
    <xdr:to>
      <xdr:col>1</xdr:col>
      <xdr:colOff>497437</xdr:colOff>
      <xdr:row>10</xdr:row>
      <xdr:rowOff>22062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C53373F-1865-47E8-B995-975F2342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75067"/>
          <a:ext cx="273319" cy="27899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10</xdr:row>
      <xdr:rowOff>215678</xdr:rowOff>
    </xdr:from>
    <xdr:to>
      <xdr:col>1</xdr:col>
      <xdr:colOff>552824</xdr:colOff>
      <xdr:row>12</xdr:row>
      <xdr:rowOff>11902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8EB04F9-7733-4BA8-ACF0-58F23D2D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12</xdr:row>
      <xdr:rowOff>205516</xdr:rowOff>
    </xdr:from>
    <xdr:to>
      <xdr:col>1</xdr:col>
      <xdr:colOff>478117</xdr:colOff>
      <xdr:row>13</xdr:row>
      <xdr:rowOff>202528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124ABAA-4C87-45D0-B029-0C3D34F0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125209</xdr:rowOff>
    </xdr:from>
    <xdr:to>
      <xdr:col>1</xdr:col>
      <xdr:colOff>478117</xdr:colOff>
      <xdr:row>15</xdr:row>
      <xdr:rowOff>115247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4379BCF-C016-4C65-A356-372DE78C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37929</xdr:rowOff>
    </xdr:from>
    <xdr:to>
      <xdr:col>1</xdr:col>
      <xdr:colOff>488725</xdr:colOff>
      <xdr:row>17</xdr:row>
      <xdr:rowOff>37223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51C3E73-EB4A-47E9-817B-5E3B25647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17</xdr:row>
      <xdr:rowOff>230839</xdr:rowOff>
    </xdr:from>
    <xdr:to>
      <xdr:col>1</xdr:col>
      <xdr:colOff>464442</xdr:colOff>
      <xdr:row>18</xdr:row>
      <xdr:rowOff>204787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B472B8B-67AE-41AA-A55C-08637E99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127469</xdr:rowOff>
    </xdr:from>
    <xdr:to>
      <xdr:col>1</xdr:col>
      <xdr:colOff>517192</xdr:colOff>
      <xdr:row>21</xdr:row>
      <xdr:rowOff>57128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3EBA09E-979A-4E3D-B460-9954347C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22</xdr:row>
      <xdr:rowOff>64478</xdr:rowOff>
    </xdr:from>
    <xdr:to>
      <xdr:col>1</xdr:col>
      <xdr:colOff>528918</xdr:colOff>
      <xdr:row>24</xdr:row>
      <xdr:rowOff>5863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6B86414-7EC9-4C71-AF5A-85E287D09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3</xdr:col>
      <xdr:colOff>14046</xdr:colOff>
      <xdr:row>2</xdr:row>
      <xdr:rowOff>86591</xdr:rowOff>
    </xdr:from>
    <xdr:to>
      <xdr:col>8</xdr:col>
      <xdr:colOff>67734</xdr:colOff>
      <xdr:row>7</xdr:row>
      <xdr:rowOff>43296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E529584-AC2E-4032-9CAF-28DC5BEFBBEA}"/>
            </a:ext>
          </a:extLst>
        </xdr:cNvPr>
        <xdr:cNvSpPr txBox="1"/>
      </xdr:nvSpPr>
      <xdr:spPr>
        <a:xfrm>
          <a:off x="2503246" y="459124"/>
          <a:ext cx="9341621" cy="8880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VENDORS</a:t>
          </a:r>
          <a:endParaRPr lang="en-IN" sz="4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9AE601E-7C6A-4B1A-BD45-6BD6A08A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99CE904-BED6-4A24-AFF2-1100030FFE3F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84938</xdr:rowOff>
    </xdr:from>
    <xdr:to>
      <xdr:col>1</xdr:col>
      <xdr:colOff>1600248</xdr:colOff>
      <xdr:row>10</xdr:row>
      <xdr:rowOff>203417</xdr:rowOff>
    </xdr:to>
    <xdr:sp macro="" textlink="">
      <xdr:nvSpPr>
        <xdr:cNvPr id="23" name="TextBox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B1E597-8187-4889-BCA4-C19C7C0E05BC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10</xdr:row>
      <xdr:rowOff>374659</xdr:rowOff>
    </xdr:from>
    <xdr:to>
      <xdr:col>1</xdr:col>
      <xdr:colOff>1600248</xdr:colOff>
      <xdr:row>12</xdr:row>
      <xdr:rowOff>24086</xdr:rowOff>
    </xdr:to>
    <xdr:sp macro="" textlink="">
      <xdr:nvSpPr>
        <xdr:cNvPr id="24" name="TextBox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FC7BDA-5FC2-42D9-87FA-12A325F84034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13</xdr:row>
      <xdr:rowOff>9060</xdr:rowOff>
    </xdr:from>
    <xdr:to>
      <xdr:col>1</xdr:col>
      <xdr:colOff>1600248</xdr:colOff>
      <xdr:row>13</xdr:row>
      <xdr:rowOff>313807</xdr:rowOff>
    </xdr:to>
    <xdr:sp macro="" textlink="">
      <xdr:nvSpPr>
        <xdr:cNvPr id="25" name="TextBox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8C87C2-F626-444F-8751-1AFD7587D6CE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19382</xdr:rowOff>
    </xdr:from>
    <xdr:to>
      <xdr:col>1</xdr:col>
      <xdr:colOff>1600248</xdr:colOff>
      <xdr:row>15</xdr:row>
      <xdr:rowOff>134475</xdr:rowOff>
    </xdr:to>
    <xdr:sp macro="" textlink="">
      <xdr:nvSpPr>
        <xdr:cNvPr id="26" name="TextBox 2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9FE9E5-3B87-4D56-B248-E32F0EB14898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119449</xdr:rowOff>
    </xdr:from>
    <xdr:to>
      <xdr:col>1</xdr:col>
      <xdr:colOff>1600248</xdr:colOff>
      <xdr:row>18</xdr:row>
      <xdr:rowOff>51662</xdr:rowOff>
    </xdr:to>
    <xdr:sp macro="" textlink="">
      <xdr:nvSpPr>
        <xdr:cNvPr id="27" name="TextBox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7541360-168E-4A31-BCF6-20A9643E8FB4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</a:t>
          </a:r>
          <a:r>
            <a:rPr lang="en-IN" sz="1600" b="1" baseline="0">
              <a:ln>
                <a:noFill/>
              </a:ln>
              <a:solidFill>
                <a:sysClr val="windowText" lastClr="000000"/>
              </a:solidFill>
            </a:rPr>
            <a:t>Entry</a:t>
          </a:r>
          <a:endParaRPr lang="en-IN" sz="16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19</xdr:row>
      <xdr:rowOff>36637</xdr:rowOff>
    </xdr:from>
    <xdr:to>
      <xdr:col>1</xdr:col>
      <xdr:colOff>1600248</xdr:colOff>
      <xdr:row>20</xdr:row>
      <xdr:rowOff>155462</xdr:rowOff>
    </xdr:to>
    <xdr:sp macro="" textlink="">
      <xdr:nvSpPr>
        <xdr:cNvPr id="28" name="TextBox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8ED992-97FA-4DC0-B548-5CD511892ABB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21</xdr:row>
      <xdr:rowOff>140437</xdr:rowOff>
    </xdr:from>
    <xdr:to>
      <xdr:col>1</xdr:col>
      <xdr:colOff>1600248</xdr:colOff>
      <xdr:row>23</xdr:row>
      <xdr:rowOff>72650</xdr:rowOff>
    </xdr:to>
    <xdr:sp macro="" textlink="">
      <xdr:nvSpPr>
        <xdr:cNvPr id="29" name="TextBox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F807F2-128F-4B5A-BF6B-29ABE27B7AC9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24</xdr:row>
      <xdr:rowOff>57627</xdr:rowOff>
    </xdr:from>
    <xdr:to>
      <xdr:col>1</xdr:col>
      <xdr:colOff>1600248</xdr:colOff>
      <xdr:row>25</xdr:row>
      <xdr:rowOff>172720</xdr:rowOff>
    </xdr:to>
    <xdr:sp macro="" textlink="">
      <xdr:nvSpPr>
        <xdr:cNvPr id="30" name="TextBox 2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4FD2DE3-A6E1-43E7-BF4B-DFD593F989FC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98667</xdr:rowOff>
    </xdr:from>
    <xdr:to>
      <xdr:col>1</xdr:col>
      <xdr:colOff>497437</xdr:colOff>
      <xdr:row>10</xdr:row>
      <xdr:rowOff>191395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76BC698-0AD8-47B0-997A-1ACB2FA8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10</xdr:row>
      <xdr:rowOff>385011</xdr:rowOff>
    </xdr:from>
    <xdr:to>
      <xdr:col>1</xdr:col>
      <xdr:colOff>552824</xdr:colOff>
      <xdr:row>12</xdr:row>
      <xdr:rowOff>71169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CD7EB67-BB66-469F-8C22-0537BE77E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13</xdr:row>
      <xdr:rowOff>78516</xdr:rowOff>
    </xdr:from>
    <xdr:to>
      <xdr:col>1</xdr:col>
      <xdr:colOff>478117</xdr:colOff>
      <xdr:row>13</xdr:row>
      <xdr:rowOff>346461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AA3D663-8388-44A0-B685-E536326D3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74409</xdr:rowOff>
    </xdr:from>
    <xdr:to>
      <xdr:col>1</xdr:col>
      <xdr:colOff>478117</xdr:colOff>
      <xdr:row>15</xdr:row>
      <xdr:rowOff>149114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F8B3F77-E478-40BC-A445-1ED3E4086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156462</xdr:rowOff>
    </xdr:from>
    <xdr:to>
      <xdr:col>1</xdr:col>
      <xdr:colOff>488725</xdr:colOff>
      <xdr:row>18</xdr:row>
      <xdr:rowOff>54156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5509489-AA0A-427A-8C1C-C59E2178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61505</xdr:rowOff>
    </xdr:from>
    <xdr:to>
      <xdr:col>1</xdr:col>
      <xdr:colOff>464442</xdr:colOff>
      <xdr:row>20</xdr:row>
      <xdr:rowOff>120121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C07029C-104F-4A67-96DE-4AA5189F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21</xdr:row>
      <xdr:rowOff>127469</xdr:rowOff>
    </xdr:from>
    <xdr:to>
      <xdr:col>1</xdr:col>
      <xdr:colOff>517192</xdr:colOff>
      <xdr:row>23</xdr:row>
      <xdr:rowOff>57128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8B25D22-D2C7-437B-9978-99270305B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24</xdr:row>
      <xdr:rowOff>64478</xdr:rowOff>
    </xdr:from>
    <xdr:to>
      <xdr:col>1</xdr:col>
      <xdr:colOff>528918</xdr:colOff>
      <xdr:row>26</xdr:row>
      <xdr:rowOff>5863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0A10220-2C83-412F-A649-B9C51E140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2</xdr:col>
      <xdr:colOff>251113</xdr:colOff>
      <xdr:row>2</xdr:row>
      <xdr:rowOff>86591</xdr:rowOff>
    </xdr:from>
    <xdr:to>
      <xdr:col>18</xdr:col>
      <xdr:colOff>551873</xdr:colOff>
      <xdr:row>7</xdr:row>
      <xdr:rowOff>43296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FFAA0FC-B9E1-44D2-BDA2-83AD56D99A7C}"/>
            </a:ext>
          </a:extLst>
        </xdr:cNvPr>
        <xdr:cNvSpPr txBox="1"/>
      </xdr:nvSpPr>
      <xdr:spPr>
        <a:xfrm>
          <a:off x="2506633" y="452351"/>
          <a:ext cx="12619760" cy="87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NEW ENTRY</a:t>
          </a:r>
        </a:p>
      </xdr:txBody>
    </xdr:sp>
    <xdr:clientData/>
  </xdr:twoCellAnchor>
  <xdr:twoCellAnchor>
    <xdr:from>
      <xdr:col>3</xdr:col>
      <xdr:colOff>567266</xdr:colOff>
      <xdr:row>10</xdr:row>
      <xdr:rowOff>118533</xdr:rowOff>
    </xdr:from>
    <xdr:to>
      <xdr:col>4</xdr:col>
      <xdr:colOff>372533</xdr:colOff>
      <xdr:row>10</xdr:row>
      <xdr:rowOff>364067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67077B9A-5501-4444-838D-A61FD98AEE5B}"/>
            </a:ext>
          </a:extLst>
        </xdr:cNvPr>
        <xdr:cNvSpPr/>
      </xdr:nvSpPr>
      <xdr:spPr>
        <a:xfrm>
          <a:off x="3428999" y="1981200"/>
          <a:ext cx="414867" cy="24553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567266</xdr:colOff>
      <xdr:row>13</xdr:row>
      <xdr:rowOff>127000</xdr:rowOff>
    </xdr:from>
    <xdr:to>
      <xdr:col>4</xdr:col>
      <xdr:colOff>372533</xdr:colOff>
      <xdr:row>13</xdr:row>
      <xdr:rowOff>372534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C70CE8DE-5401-43AD-BAC7-DF2E27EBF710}"/>
            </a:ext>
          </a:extLst>
        </xdr:cNvPr>
        <xdr:cNvSpPr/>
      </xdr:nvSpPr>
      <xdr:spPr>
        <a:xfrm>
          <a:off x="3428999" y="2827867"/>
          <a:ext cx="414867" cy="245534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1234440</xdr:colOff>
      <xdr:row>4</xdr:row>
      <xdr:rowOff>144780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4CF5C7F-7517-444D-B767-116C8EF51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0346174-C7EF-4551-A433-87090C0F16F3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84938</xdr:rowOff>
    </xdr:from>
    <xdr:to>
      <xdr:col>1</xdr:col>
      <xdr:colOff>1600248</xdr:colOff>
      <xdr:row>11</xdr:row>
      <xdr:rowOff>17151</xdr:rowOff>
    </xdr:to>
    <xdr:sp macro="" textlink="">
      <xdr:nvSpPr>
        <xdr:cNvPr id="61" name="TextBox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5A5334-6BBD-4D33-9135-097EFE1C4CA8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12</xdr:row>
      <xdr:rowOff>2126</xdr:rowOff>
    </xdr:from>
    <xdr:to>
      <xdr:col>1</xdr:col>
      <xdr:colOff>1600248</xdr:colOff>
      <xdr:row>13</xdr:row>
      <xdr:rowOff>117219</xdr:rowOff>
    </xdr:to>
    <xdr:sp macro="" textlink="">
      <xdr:nvSpPr>
        <xdr:cNvPr id="62" name="TextBox 6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36103E-FDD9-47BB-82ED-BF07235A4034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102194</xdr:rowOff>
    </xdr:from>
    <xdr:to>
      <xdr:col>1</xdr:col>
      <xdr:colOff>1600248</xdr:colOff>
      <xdr:row>16</xdr:row>
      <xdr:rowOff>34407</xdr:rowOff>
    </xdr:to>
    <xdr:sp macro="" textlink="">
      <xdr:nvSpPr>
        <xdr:cNvPr id="63" name="TextBox 6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5F19F9B-8C04-4816-9CEF-45C7C43CF5EA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17</xdr:row>
      <xdr:rowOff>19382</xdr:rowOff>
    </xdr:from>
    <xdr:to>
      <xdr:col>1</xdr:col>
      <xdr:colOff>1600248</xdr:colOff>
      <xdr:row>18</xdr:row>
      <xdr:rowOff>134475</xdr:rowOff>
    </xdr:to>
    <xdr:sp macro="" textlink="">
      <xdr:nvSpPr>
        <xdr:cNvPr id="64" name="TextBox 6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ED94BB-CC72-445C-A82C-9936836BB22D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119449</xdr:rowOff>
    </xdr:from>
    <xdr:to>
      <xdr:col>1</xdr:col>
      <xdr:colOff>1600248</xdr:colOff>
      <xdr:row>21</xdr:row>
      <xdr:rowOff>51662</xdr:rowOff>
    </xdr:to>
    <xdr:sp macro="" textlink="">
      <xdr:nvSpPr>
        <xdr:cNvPr id="65" name="TextBox 6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CA57D07-0B11-4F2E-8811-B557E6EE5247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22</xdr:row>
      <xdr:rowOff>36637</xdr:rowOff>
    </xdr:from>
    <xdr:to>
      <xdr:col>1</xdr:col>
      <xdr:colOff>1600248</xdr:colOff>
      <xdr:row>23</xdr:row>
      <xdr:rowOff>155462</xdr:rowOff>
    </xdr:to>
    <xdr:sp macro="" textlink="">
      <xdr:nvSpPr>
        <xdr:cNvPr id="66" name="TextBox 6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C2E9717-007A-4DC7-B851-EFC1204E7273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24</xdr:row>
      <xdr:rowOff>140437</xdr:rowOff>
    </xdr:from>
    <xdr:to>
      <xdr:col>1</xdr:col>
      <xdr:colOff>1600248</xdr:colOff>
      <xdr:row>26</xdr:row>
      <xdr:rowOff>72650</xdr:rowOff>
    </xdr:to>
    <xdr:sp macro="" textlink="">
      <xdr:nvSpPr>
        <xdr:cNvPr id="67" name="TextBox 6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E3CE993-8215-4C1C-84A7-A4E3B172B708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27</xdr:row>
      <xdr:rowOff>57627</xdr:rowOff>
    </xdr:from>
    <xdr:to>
      <xdr:col>1</xdr:col>
      <xdr:colOff>1600248</xdr:colOff>
      <xdr:row>28</xdr:row>
      <xdr:rowOff>172720</xdr:rowOff>
    </xdr:to>
    <xdr:sp macro="" textlink="">
      <xdr:nvSpPr>
        <xdr:cNvPr id="68" name="TextBox 6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1A36059-5561-474D-82BC-00C591F2B7A1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98667</xdr:rowOff>
    </xdr:from>
    <xdr:to>
      <xdr:col>1</xdr:col>
      <xdr:colOff>497437</xdr:colOff>
      <xdr:row>11</xdr:row>
      <xdr:rowOff>5129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39422C1-6392-49D3-BD0F-45ACA957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12</xdr:row>
      <xdr:rowOff>12478</xdr:rowOff>
    </xdr:from>
    <xdr:to>
      <xdr:col>1</xdr:col>
      <xdr:colOff>552824</xdr:colOff>
      <xdr:row>13</xdr:row>
      <xdr:rowOff>164302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D469098-0B28-48B9-86AE-CE5988508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171650</xdr:rowOff>
    </xdr:from>
    <xdr:to>
      <xdr:col>1</xdr:col>
      <xdr:colOff>478117</xdr:colOff>
      <xdr:row>16</xdr:row>
      <xdr:rowOff>67061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668174D6-8F92-43F5-80EE-13B30880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17</xdr:row>
      <xdr:rowOff>74409</xdr:rowOff>
    </xdr:from>
    <xdr:to>
      <xdr:col>1</xdr:col>
      <xdr:colOff>478117</xdr:colOff>
      <xdr:row>18</xdr:row>
      <xdr:rowOff>149114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47E26EE-A836-4311-9262-F8E1DC882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156462</xdr:rowOff>
    </xdr:from>
    <xdr:to>
      <xdr:col>1</xdr:col>
      <xdr:colOff>488725</xdr:colOff>
      <xdr:row>21</xdr:row>
      <xdr:rowOff>54156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8E49EFF-5252-47F7-82A2-0CD824FE3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22</xdr:row>
      <xdr:rowOff>61505</xdr:rowOff>
    </xdr:from>
    <xdr:to>
      <xdr:col>1</xdr:col>
      <xdr:colOff>464442</xdr:colOff>
      <xdr:row>23</xdr:row>
      <xdr:rowOff>120121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14DF2A2-0F83-4D01-89CE-FC12D398B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24</xdr:row>
      <xdr:rowOff>127469</xdr:rowOff>
    </xdr:from>
    <xdr:to>
      <xdr:col>1</xdr:col>
      <xdr:colOff>517192</xdr:colOff>
      <xdr:row>26</xdr:row>
      <xdr:rowOff>57128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B402BB9-C068-48E8-B442-402D6CC5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27</xdr:row>
      <xdr:rowOff>64478</xdr:rowOff>
    </xdr:from>
    <xdr:to>
      <xdr:col>1</xdr:col>
      <xdr:colOff>528918</xdr:colOff>
      <xdr:row>29</xdr:row>
      <xdr:rowOff>5863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45662294-D866-4D5E-8653-33831529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3</xdr:col>
      <xdr:colOff>14046</xdr:colOff>
      <xdr:row>2</xdr:row>
      <xdr:rowOff>86591</xdr:rowOff>
    </xdr:from>
    <xdr:to>
      <xdr:col>18</xdr:col>
      <xdr:colOff>238606</xdr:colOff>
      <xdr:row>7</xdr:row>
      <xdr:rowOff>43296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F8DE799-81B3-479C-9A7E-EAAE16FACD56}"/>
            </a:ext>
          </a:extLst>
        </xdr:cNvPr>
        <xdr:cNvSpPr txBox="1"/>
      </xdr:nvSpPr>
      <xdr:spPr>
        <a:xfrm>
          <a:off x="2506633" y="452351"/>
          <a:ext cx="12619760" cy="87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PURCHASE</a:t>
          </a:r>
          <a:endParaRPr lang="en-IN" sz="44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1232232</xdr:colOff>
      <xdr:row>4</xdr:row>
      <xdr:rowOff>144780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EAFF616-0C13-4AD2-9B9F-A00E4683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3879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E1382C5-240E-4ED8-B1F8-54C1BA7A1782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271</xdr:rowOff>
    </xdr:from>
    <xdr:to>
      <xdr:col>1</xdr:col>
      <xdr:colOff>1600248</xdr:colOff>
      <xdr:row>10</xdr:row>
      <xdr:rowOff>118751</xdr:rowOff>
    </xdr:to>
    <xdr:sp macro="" textlink="">
      <xdr:nvSpPr>
        <xdr:cNvPr id="42" name="TextBox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50F4DD-92DA-4395-B8A8-0D800F110E98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11</xdr:row>
      <xdr:rowOff>103726</xdr:rowOff>
    </xdr:from>
    <xdr:to>
      <xdr:col>1</xdr:col>
      <xdr:colOff>1600248</xdr:colOff>
      <xdr:row>13</xdr:row>
      <xdr:rowOff>32553</xdr:rowOff>
    </xdr:to>
    <xdr:sp macro="" textlink="">
      <xdr:nvSpPr>
        <xdr:cNvPr id="43" name="TextBox 4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45F34C-334A-4241-BA54-1579A4E3F200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17527</xdr:rowOff>
    </xdr:from>
    <xdr:to>
      <xdr:col>1</xdr:col>
      <xdr:colOff>1600248</xdr:colOff>
      <xdr:row>15</xdr:row>
      <xdr:rowOff>136007</xdr:rowOff>
    </xdr:to>
    <xdr:sp macro="" textlink="">
      <xdr:nvSpPr>
        <xdr:cNvPr id="44" name="TextBox 4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E80D1A-1624-4A9F-B9FA-CBD75DD818C7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120982</xdr:rowOff>
    </xdr:from>
    <xdr:to>
      <xdr:col>1</xdr:col>
      <xdr:colOff>1600248</xdr:colOff>
      <xdr:row>18</xdr:row>
      <xdr:rowOff>49808</xdr:rowOff>
    </xdr:to>
    <xdr:sp macro="" textlink="">
      <xdr:nvSpPr>
        <xdr:cNvPr id="45" name="TextBox 4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8B2A94-571B-45D8-BF97-DC5CF0CAB84E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34783</xdr:rowOff>
    </xdr:from>
    <xdr:to>
      <xdr:col>1</xdr:col>
      <xdr:colOff>1600248</xdr:colOff>
      <xdr:row>20</xdr:row>
      <xdr:rowOff>153262</xdr:rowOff>
    </xdr:to>
    <xdr:sp macro="" textlink="">
      <xdr:nvSpPr>
        <xdr:cNvPr id="46" name="TextBox 4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35DFA0-DB6F-4C60-A0F9-52891BE55BF5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21</xdr:row>
      <xdr:rowOff>138237</xdr:rowOff>
    </xdr:from>
    <xdr:to>
      <xdr:col>1</xdr:col>
      <xdr:colOff>1600248</xdr:colOff>
      <xdr:row>23</xdr:row>
      <xdr:rowOff>70795</xdr:rowOff>
    </xdr:to>
    <xdr:sp macro="" textlink="">
      <xdr:nvSpPr>
        <xdr:cNvPr id="47" name="TextBox 4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D12EC-7F72-442A-A3A2-F336E640A45D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24</xdr:row>
      <xdr:rowOff>55770</xdr:rowOff>
    </xdr:from>
    <xdr:to>
      <xdr:col>1</xdr:col>
      <xdr:colOff>1600248</xdr:colOff>
      <xdr:row>25</xdr:row>
      <xdr:rowOff>174250</xdr:rowOff>
    </xdr:to>
    <xdr:sp macro="" textlink="">
      <xdr:nvSpPr>
        <xdr:cNvPr id="48" name="TextBox 4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CA71083-916D-4696-B5B1-AB832AD0553C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26</xdr:row>
      <xdr:rowOff>159227</xdr:rowOff>
    </xdr:from>
    <xdr:to>
      <xdr:col>1</xdr:col>
      <xdr:colOff>1600248</xdr:colOff>
      <xdr:row>28</xdr:row>
      <xdr:rowOff>88054</xdr:rowOff>
    </xdr:to>
    <xdr:sp macro="" textlink="">
      <xdr:nvSpPr>
        <xdr:cNvPr id="49" name="TextBox 4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DF8794-7CB3-46E4-B34C-BA0B405815B4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14000</xdr:rowOff>
    </xdr:from>
    <xdr:to>
      <xdr:col>1</xdr:col>
      <xdr:colOff>497437</xdr:colOff>
      <xdr:row>10</xdr:row>
      <xdr:rowOff>106729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E7E26E7-8743-4D5C-A5D8-598D1F93D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11</xdr:row>
      <xdr:rowOff>114078</xdr:rowOff>
    </xdr:from>
    <xdr:to>
      <xdr:col>1</xdr:col>
      <xdr:colOff>552824</xdr:colOff>
      <xdr:row>13</xdr:row>
      <xdr:rowOff>79636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F906E2D-2E84-47B9-9B86-2700054E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86983</xdr:rowOff>
    </xdr:from>
    <xdr:to>
      <xdr:col>1</xdr:col>
      <xdr:colOff>478117</xdr:colOff>
      <xdr:row>15</xdr:row>
      <xdr:rowOff>168661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AE27345-6860-4E18-848E-D359850ED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176009</xdr:rowOff>
    </xdr:from>
    <xdr:to>
      <xdr:col>1</xdr:col>
      <xdr:colOff>478117</xdr:colOff>
      <xdr:row>18</xdr:row>
      <xdr:rowOff>64447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C9D1703-8B0D-4A97-BC32-9D68BABE1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71796</xdr:rowOff>
    </xdr:from>
    <xdr:to>
      <xdr:col>1</xdr:col>
      <xdr:colOff>488725</xdr:colOff>
      <xdr:row>20</xdr:row>
      <xdr:rowOff>155756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C59A955-3F86-4E91-A185-68B0F8CD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21</xdr:row>
      <xdr:rowOff>163105</xdr:rowOff>
    </xdr:from>
    <xdr:to>
      <xdr:col>1</xdr:col>
      <xdr:colOff>464442</xdr:colOff>
      <xdr:row>23</xdr:row>
      <xdr:rowOff>35454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6F27AA6-3782-47F9-B6EB-B8B6FBAA9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24</xdr:row>
      <xdr:rowOff>42802</xdr:rowOff>
    </xdr:from>
    <xdr:to>
      <xdr:col>1</xdr:col>
      <xdr:colOff>517192</xdr:colOff>
      <xdr:row>25</xdr:row>
      <xdr:rowOff>158728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49598A3-C3E8-4BEA-87F2-A6D5AEB5D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26</xdr:row>
      <xdr:rowOff>166078</xdr:rowOff>
    </xdr:from>
    <xdr:to>
      <xdr:col>1</xdr:col>
      <xdr:colOff>528918</xdr:colOff>
      <xdr:row>28</xdr:row>
      <xdr:rowOff>107463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190F2AF-E268-4B1A-8F73-5D7DC585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2</xdr:col>
      <xdr:colOff>251113</xdr:colOff>
      <xdr:row>2</xdr:row>
      <xdr:rowOff>86591</xdr:rowOff>
    </xdr:from>
    <xdr:to>
      <xdr:col>15</xdr:col>
      <xdr:colOff>43873</xdr:colOff>
      <xdr:row>7</xdr:row>
      <xdr:rowOff>43296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A4E4798-891C-48D0-AD9A-84980D7AE715}"/>
            </a:ext>
          </a:extLst>
        </xdr:cNvPr>
        <xdr:cNvSpPr txBox="1"/>
      </xdr:nvSpPr>
      <xdr:spPr>
        <a:xfrm>
          <a:off x="2506633" y="452351"/>
          <a:ext cx="12619760" cy="87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SALES</a:t>
          </a:r>
          <a:endParaRPr lang="en-IN" sz="4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670561</xdr:colOff>
      <xdr:row>1</xdr:row>
      <xdr:rowOff>129541</xdr:rowOff>
    </xdr:from>
    <xdr:to>
      <xdr:col>1</xdr:col>
      <xdr:colOff>1233906</xdr:colOff>
      <xdr:row>4</xdr:row>
      <xdr:rowOff>144780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C24EEA6-764C-4C02-9A14-B78CA4A8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1" y="312421"/>
          <a:ext cx="561671" cy="563879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5</xdr:row>
      <xdr:rowOff>7620</xdr:rowOff>
    </xdr:from>
    <xdr:to>
      <xdr:col>1</xdr:col>
      <xdr:colOff>1866900</xdr:colOff>
      <xdr:row>8</xdr:row>
      <xdr:rowOff>76200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2E24252-11BA-4EEE-9048-4F66BBC0751B}"/>
            </a:ext>
          </a:extLst>
        </xdr:cNvPr>
        <xdr:cNvSpPr txBox="1"/>
      </xdr:nvSpPr>
      <xdr:spPr>
        <a:xfrm>
          <a:off x="403860" y="922020"/>
          <a:ext cx="1767840" cy="617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n>
                <a:noFill/>
              </a:ln>
            </a:rPr>
            <a:t>Inventory</a:t>
          </a:r>
          <a:r>
            <a:rPr lang="en-IN" sz="1400" b="1" baseline="0">
              <a:ln>
                <a:noFill/>
              </a:ln>
            </a:rPr>
            <a:t> Management System</a:t>
          </a:r>
          <a:endParaRPr lang="en-IN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487887</xdr:colOff>
      <xdr:row>9</xdr:row>
      <xdr:rowOff>271</xdr:rowOff>
    </xdr:from>
    <xdr:to>
      <xdr:col>1</xdr:col>
      <xdr:colOff>1600248</xdr:colOff>
      <xdr:row>10</xdr:row>
      <xdr:rowOff>118751</xdr:rowOff>
    </xdr:to>
    <xdr:sp macro="" textlink="">
      <xdr:nvSpPr>
        <xdr:cNvPr id="42" name="TextBox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ACDD74-34DA-4DF4-B53E-C2C0C86B2CB9}"/>
            </a:ext>
          </a:extLst>
        </xdr:cNvPr>
        <xdr:cNvSpPr txBox="1"/>
      </xdr:nvSpPr>
      <xdr:spPr>
        <a:xfrm>
          <a:off x="792687" y="1730858"/>
          <a:ext cx="1112361" cy="297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487887</xdr:colOff>
      <xdr:row>11</xdr:row>
      <xdr:rowOff>103726</xdr:rowOff>
    </xdr:from>
    <xdr:to>
      <xdr:col>1</xdr:col>
      <xdr:colOff>1600248</xdr:colOff>
      <xdr:row>13</xdr:row>
      <xdr:rowOff>32553</xdr:rowOff>
    </xdr:to>
    <xdr:sp macro="" textlink="">
      <xdr:nvSpPr>
        <xdr:cNvPr id="43" name="TextBox 4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57F7CA-7B81-4709-A4CB-100EF888FFAA}"/>
            </a:ext>
          </a:extLst>
        </xdr:cNvPr>
        <xdr:cNvSpPr txBox="1"/>
      </xdr:nvSpPr>
      <xdr:spPr>
        <a:xfrm>
          <a:off x="792687" y="2196686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487887</xdr:colOff>
      <xdr:row>14</xdr:row>
      <xdr:rowOff>17527</xdr:rowOff>
    </xdr:from>
    <xdr:to>
      <xdr:col>1</xdr:col>
      <xdr:colOff>1600248</xdr:colOff>
      <xdr:row>15</xdr:row>
      <xdr:rowOff>136007</xdr:rowOff>
    </xdr:to>
    <xdr:sp macro="" textlink="">
      <xdr:nvSpPr>
        <xdr:cNvPr id="44" name="TextBox 4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57C896-F12F-4FB7-BA63-391811CEAF87}"/>
            </a:ext>
          </a:extLst>
        </xdr:cNvPr>
        <xdr:cNvSpPr txBox="1"/>
      </xdr:nvSpPr>
      <xdr:spPr>
        <a:xfrm>
          <a:off x="792687" y="2662514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487887</xdr:colOff>
      <xdr:row>16</xdr:row>
      <xdr:rowOff>120982</xdr:rowOff>
    </xdr:from>
    <xdr:to>
      <xdr:col>1</xdr:col>
      <xdr:colOff>1600248</xdr:colOff>
      <xdr:row>18</xdr:row>
      <xdr:rowOff>49808</xdr:rowOff>
    </xdr:to>
    <xdr:sp macro="" textlink="">
      <xdr:nvSpPr>
        <xdr:cNvPr id="45" name="TextBox 4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4BA6B4-60D7-4A0C-81D6-41923F7C5D8E}"/>
            </a:ext>
          </a:extLst>
        </xdr:cNvPr>
        <xdr:cNvSpPr txBox="1"/>
      </xdr:nvSpPr>
      <xdr:spPr>
        <a:xfrm>
          <a:off x="792687" y="3128342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487887</xdr:colOff>
      <xdr:row>19</xdr:row>
      <xdr:rowOff>34783</xdr:rowOff>
    </xdr:from>
    <xdr:to>
      <xdr:col>1</xdr:col>
      <xdr:colOff>1600248</xdr:colOff>
      <xdr:row>20</xdr:row>
      <xdr:rowOff>153262</xdr:rowOff>
    </xdr:to>
    <xdr:sp macro="" textlink="">
      <xdr:nvSpPr>
        <xdr:cNvPr id="46" name="TextBox 4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84AF13-D5B4-44ED-A6B6-E2BB25BCB919}"/>
            </a:ext>
          </a:extLst>
        </xdr:cNvPr>
        <xdr:cNvSpPr txBox="1"/>
      </xdr:nvSpPr>
      <xdr:spPr>
        <a:xfrm>
          <a:off x="792687" y="3594169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New</a:t>
          </a:r>
          <a:r>
            <a:rPr lang="en-IN" sz="1600" b="0" baseline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 Entry</a:t>
          </a:r>
          <a:endParaRPr lang="en-IN" sz="1600" b="0">
            <a:ln>
              <a:noFill/>
            </a:ln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487887</xdr:colOff>
      <xdr:row>21</xdr:row>
      <xdr:rowOff>138237</xdr:rowOff>
    </xdr:from>
    <xdr:to>
      <xdr:col>1</xdr:col>
      <xdr:colOff>1600248</xdr:colOff>
      <xdr:row>23</xdr:row>
      <xdr:rowOff>70795</xdr:rowOff>
    </xdr:to>
    <xdr:sp macro="" textlink="">
      <xdr:nvSpPr>
        <xdr:cNvPr id="47" name="TextBox 4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465556-3FC6-41AF-B9E8-0EE9A4263D7A}"/>
            </a:ext>
          </a:extLst>
        </xdr:cNvPr>
        <xdr:cNvSpPr txBox="1"/>
      </xdr:nvSpPr>
      <xdr:spPr>
        <a:xfrm>
          <a:off x="792687" y="4059997"/>
          <a:ext cx="1112361" cy="3017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487887</xdr:colOff>
      <xdr:row>24</xdr:row>
      <xdr:rowOff>55770</xdr:rowOff>
    </xdr:from>
    <xdr:to>
      <xdr:col>1</xdr:col>
      <xdr:colOff>1600248</xdr:colOff>
      <xdr:row>25</xdr:row>
      <xdr:rowOff>174250</xdr:rowOff>
    </xdr:to>
    <xdr:sp macro="" textlink="">
      <xdr:nvSpPr>
        <xdr:cNvPr id="48" name="TextBox 4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BF5ADB-83FE-41F3-B71A-3294EF003F8D}"/>
            </a:ext>
          </a:extLst>
        </xdr:cNvPr>
        <xdr:cNvSpPr txBox="1"/>
      </xdr:nvSpPr>
      <xdr:spPr>
        <a:xfrm>
          <a:off x="792687" y="452955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0">
              <a:ln>
                <a:noFill/>
              </a:ln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487887</xdr:colOff>
      <xdr:row>26</xdr:row>
      <xdr:rowOff>159227</xdr:rowOff>
    </xdr:from>
    <xdr:to>
      <xdr:col>1</xdr:col>
      <xdr:colOff>1600248</xdr:colOff>
      <xdr:row>28</xdr:row>
      <xdr:rowOff>88054</xdr:rowOff>
    </xdr:to>
    <xdr:sp macro="" textlink="">
      <xdr:nvSpPr>
        <xdr:cNvPr id="49" name="TextBox 4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22D422-8363-4D1C-81BA-5672CEB3BC84}"/>
            </a:ext>
          </a:extLst>
        </xdr:cNvPr>
        <xdr:cNvSpPr txBox="1"/>
      </xdr:nvSpPr>
      <xdr:spPr>
        <a:xfrm>
          <a:off x="792687" y="4995387"/>
          <a:ext cx="1112361" cy="2979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 b="1">
              <a:ln>
                <a:noFill/>
              </a:ln>
              <a:solidFill>
                <a:sysClr val="windowText" lastClr="000000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224118</xdr:colOff>
      <xdr:row>9</xdr:row>
      <xdr:rowOff>14000</xdr:rowOff>
    </xdr:from>
    <xdr:to>
      <xdr:col>1</xdr:col>
      <xdr:colOff>497437</xdr:colOff>
      <xdr:row>10</xdr:row>
      <xdr:rowOff>106729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44A01DC-140E-454C-81A3-5DC615DB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1744587"/>
          <a:ext cx="273319" cy="272222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11</xdr:row>
      <xdr:rowOff>114078</xdr:rowOff>
    </xdr:from>
    <xdr:to>
      <xdr:col>1</xdr:col>
      <xdr:colOff>552824</xdr:colOff>
      <xdr:row>13</xdr:row>
      <xdr:rowOff>79636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C76F995-5680-4AA7-BDD6-5B7BA4070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207038"/>
          <a:ext cx="328706" cy="33470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14</xdr:row>
      <xdr:rowOff>86983</xdr:rowOff>
    </xdr:from>
    <xdr:to>
      <xdr:col>1</xdr:col>
      <xdr:colOff>478117</xdr:colOff>
      <xdr:row>15</xdr:row>
      <xdr:rowOff>168661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91E1819-B850-4EAC-9EC4-382947156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2731970"/>
          <a:ext cx="253999" cy="261171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16</xdr:row>
      <xdr:rowOff>176009</xdr:rowOff>
    </xdr:from>
    <xdr:to>
      <xdr:col>1</xdr:col>
      <xdr:colOff>478117</xdr:colOff>
      <xdr:row>18</xdr:row>
      <xdr:rowOff>64447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78271F06-1535-4DDE-AA76-B25363E21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183369"/>
          <a:ext cx="253999" cy="257585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19</xdr:row>
      <xdr:rowOff>71796</xdr:rowOff>
    </xdr:from>
    <xdr:to>
      <xdr:col>1</xdr:col>
      <xdr:colOff>488725</xdr:colOff>
      <xdr:row>20</xdr:row>
      <xdr:rowOff>155756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E1966A6-3133-4D0A-8B9A-4F98A2C9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3631182"/>
          <a:ext cx="264607" cy="2634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21</xdr:row>
      <xdr:rowOff>163105</xdr:rowOff>
    </xdr:from>
    <xdr:to>
      <xdr:col>1</xdr:col>
      <xdr:colOff>464442</xdr:colOff>
      <xdr:row>23</xdr:row>
      <xdr:rowOff>35454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0F3093F-E5BC-41D3-8059-DC6CD884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084865"/>
          <a:ext cx="240324" cy="241496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24</xdr:row>
      <xdr:rowOff>42802</xdr:rowOff>
    </xdr:from>
    <xdr:to>
      <xdr:col>1</xdr:col>
      <xdr:colOff>517192</xdr:colOff>
      <xdr:row>25</xdr:row>
      <xdr:rowOff>158728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0DAD85E-75D0-4FEF-8808-12ED2D605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4516589"/>
          <a:ext cx="293074" cy="295419"/>
        </a:xfrm>
        <a:prstGeom prst="rect">
          <a:avLst/>
        </a:prstGeom>
      </xdr:spPr>
    </xdr:pic>
    <xdr:clientData/>
  </xdr:twoCellAnchor>
  <xdr:twoCellAnchor editAs="absolute">
    <xdr:from>
      <xdr:col>1</xdr:col>
      <xdr:colOff>224118</xdr:colOff>
      <xdr:row>26</xdr:row>
      <xdr:rowOff>166078</xdr:rowOff>
    </xdr:from>
    <xdr:to>
      <xdr:col>1</xdr:col>
      <xdr:colOff>528918</xdr:colOff>
      <xdr:row>28</xdr:row>
      <xdr:rowOff>107463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AF79D3A-0008-47B1-A2E8-346CB7DA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18" y="5002238"/>
          <a:ext cx="304800" cy="307145"/>
        </a:xfrm>
        <a:prstGeom prst="rect">
          <a:avLst/>
        </a:prstGeom>
      </xdr:spPr>
    </xdr:pic>
    <xdr:clientData/>
  </xdr:twoCellAnchor>
  <xdr:twoCellAnchor editAs="absolute">
    <xdr:from>
      <xdr:col>2</xdr:col>
      <xdr:colOff>251113</xdr:colOff>
      <xdr:row>2</xdr:row>
      <xdr:rowOff>86591</xdr:rowOff>
    </xdr:from>
    <xdr:to>
      <xdr:col>11</xdr:col>
      <xdr:colOff>2677006</xdr:colOff>
      <xdr:row>7</xdr:row>
      <xdr:rowOff>43296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5EC9E80-713D-4229-AF40-7F6BBFD499B1}"/>
            </a:ext>
          </a:extLst>
        </xdr:cNvPr>
        <xdr:cNvSpPr txBox="1"/>
      </xdr:nvSpPr>
      <xdr:spPr>
        <a:xfrm>
          <a:off x="2506633" y="452351"/>
          <a:ext cx="12619760" cy="8711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 b="1"/>
            <a:t> </a:t>
          </a:r>
          <a:r>
            <a:rPr lang="en-IN" sz="4000" b="1"/>
            <a:t>INVENTORY </a:t>
          </a:r>
          <a:endParaRPr lang="en-IN" sz="4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75198587963" createdVersion="7" refreshedVersion="7" minRefreshableVersion="3" recordCount="18" xr:uid="{9225F5E8-6DF9-47DF-A70A-4978BD8A1643}">
  <cacheSource type="worksheet">
    <worksheetSource name="Table8"/>
  </cacheSource>
  <cacheFields count="9">
    <cacheField name="HSN Code" numFmtId="0">
      <sharedItems containsBlank="1"/>
    </cacheField>
    <cacheField name="Product Name" numFmtId="0">
      <sharedItems containsBlank="1"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m/>
      </sharedItems>
    </cacheField>
    <cacheField name="Cost" numFmtId="0">
      <sharedItems containsString="0" containsBlank="1" containsNumber="1" containsInteger="1" minValue="200" maxValue="52000"/>
    </cacheField>
    <cacheField name="P Units" numFmtId="0">
      <sharedItems containsString="0" containsBlank="1" containsNumber="1" containsInteger="1" minValue="3" maxValue="60"/>
    </cacheField>
    <cacheField name="S Units" numFmtId="0">
      <sharedItems containsString="0" containsBlank="1" containsNumber="1" containsInteger="1" minValue="0" maxValue="19"/>
    </cacheField>
    <cacheField name="Stock" numFmtId="0">
      <sharedItems containsString="0" containsBlank="1" containsNumber="1" containsInteger="1" minValue="-1" maxValue="60"/>
    </cacheField>
    <cacheField name="Stock Amt." numFmtId="0">
      <sharedItems containsString="0" containsBlank="1" containsNumber="1" containsInteger="1" minValue="-21000" maxValue="1410000"/>
    </cacheField>
    <cacheField name="Staus" numFmtId="0">
      <sharedItems containsBlank="1"/>
    </cacheField>
    <cacheField name="Notifi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75198645833" createdVersion="7" refreshedVersion="7" minRefreshableVersion="3" recordCount="13" xr:uid="{D66A692A-C45E-4704-A79D-E0B5189EF679}">
  <cacheSource type="worksheet">
    <worksheetSource name="Table7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ntainsBlank="1" count="8">
        <s v="Rahul"/>
        <s v="Vikas"/>
        <s v="Vansh"/>
        <s v="Sahil"/>
        <s v="Lovelesh"/>
        <s v="Sachin"/>
        <m/>
        <s v=""/>
      </sharedItems>
    </cacheField>
    <cacheField name="HSN Code" numFmtId="0">
      <sharedItems containsBlank="1"/>
    </cacheField>
    <cacheField name="Product Name" numFmtId="0">
      <sharedItems containsBlank="1"/>
    </cacheField>
    <cacheField name="Date" numFmtId="0">
      <sharedItems containsNonDate="0" containsString="0" containsBlank="1"/>
    </cacheField>
    <cacheField name="Stock(Units)" numFmtId="0">
      <sharedItems containsBlank="1" containsMixedTypes="1" containsNumber="1" containsInteger="1" minValue="-1" maxValue="40"/>
    </cacheField>
    <cacheField name="Units" numFmtId="0">
      <sharedItems containsString="0" containsBlank="1" containsNumber="1" containsInteger="1" minValue="2" maxValue="19"/>
    </cacheField>
    <cacheField name="Price" numFmtId="0">
      <sharedItems containsBlank="1" containsMixedTypes="1" containsNumber="1" containsInteger="1" minValue="240" maxValue="62400"/>
    </cacheField>
    <cacheField name="Amount" numFmtId="0">
      <sharedItems containsBlank="1" containsMixedTypes="1" containsNumber="1" containsInteger="1" minValue="816" maxValue="6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751987037038" createdVersion="7" refreshedVersion="7" minRefreshableVersion="3" recordCount="14" xr:uid="{BFEB4CE0-FE6E-4A0D-BF34-46311404B7C7}">
  <cacheSource type="worksheet">
    <worksheetSource name="Table5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165">
      <sharedItems containsNonDate="0" containsDate="1" containsString="0" containsBlank="1" minDate="2026-01-14T00:00:00" maxDate="2026-11-03T00:00:00"/>
    </cacheField>
    <cacheField name="Units" numFmtId="0">
      <sharedItems containsString="0" containsBlank="1" containsNumber="1" containsInteger="1" minValue="3" maxValue="60"/>
    </cacheField>
    <cacheField name="Cost" numFmtId="0">
      <sharedItems containsMixedTypes="1" containsNumber="1" containsInteger="1" minValue="200" maxValue="52000"/>
    </cacheField>
    <cacheField name="Amount" numFmtId="0">
      <sharedItems containsMixedTypes="1" containsNumber="1" containsInteger="1" minValue="1400" maxValue="14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751987268515" createdVersion="7" refreshedVersion="7" minRefreshableVersion="3" recordCount="10" xr:uid="{5375E5D1-7AE1-4E63-BAEF-A7F6955FE62D}">
  <cacheSource type="worksheet">
    <worksheetSource name="productdata"/>
  </cacheSource>
  <cacheFields count="4">
    <cacheField name="HSN Code" numFmtId="0">
      <sharedItems/>
    </cacheField>
    <cacheField name="Product Name" numFmtId="0">
      <sharedItems/>
    </cacheField>
    <cacheField name="Cost" numFmtId="164">
      <sharedItems containsSemiMixedTypes="0" containsString="0" containsNumber="1" containsInteger="1" minValue="200" maxValue="52000"/>
    </cacheField>
    <cacheField name="Selling Price" numFmtId="164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6.7519875" createdVersion="7" refreshedVersion="7" minRefreshableVersion="3" recordCount="8" xr:uid="{954546F7-9597-469F-9A0F-7EEAF1E61627}">
  <cacheSource type="worksheet">
    <worksheetSource name="Customerdata"/>
  </cacheSource>
  <cacheFields count="4">
    <cacheField name="Cust_Id" numFmtId="0">
      <sharedItems containsSemiMixedTypes="0" containsString="0" containsNumber="1" containsInteger="1" minValue="100" maxValue="107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N1001"/>
    <x v="0"/>
    <n v="980"/>
    <n v="30"/>
    <n v="9"/>
    <n v="21"/>
    <n v="20580"/>
    <s v="In Stock"/>
    <s v=""/>
  </r>
  <r>
    <s v="N1002"/>
    <x v="1"/>
    <n v="34500"/>
    <n v="13"/>
    <n v="10"/>
    <n v="3"/>
    <n v="103500"/>
    <s v="In Stock"/>
    <s v=" 📞 Laptop HP xyz i5 Need To  Re-order !! Ph 9812xxxxxx"/>
  </r>
  <r>
    <s v="N1003"/>
    <x v="2"/>
    <n v="4600"/>
    <n v="20"/>
    <n v="19"/>
    <n v="1"/>
    <n v="4600"/>
    <s v="In Stock"/>
    <s v=" 📞 Wireless Printer Need To  Re-order !! Ph 9812xxxxxx"/>
  </r>
  <r>
    <s v="N1004"/>
    <x v="3"/>
    <n v="21000"/>
    <n v="5"/>
    <n v="6"/>
    <n v="-1"/>
    <n v="-21000"/>
    <s v="Out Of Stock"/>
    <s v=" 📞 Desktop Need To  Re-order !! Ph 9813xxxxxx"/>
  </r>
  <r>
    <s v="N1005"/>
    <x v="4"/>
    <n v="200"/>
    <n v="57"/>
    <n v="17"/>
    <n v="40"/>
    <n v="8000"/>
    <s v="In Stock"/>
    <s v=""/>
  </r>
  <r>
    <s v="N1006"/>
    <x v="5"/>
    <n v="340"/>
    <n v="8"/>
    <n v="2"/>
    <n v="6"/>
    <n v="2040"/>
    <s v="In Stock"/>
    <s v=""/>
  </r>
  <r>
    <s v="N1007"/>
    <x v="6"/>
    <n v="52000"/>
    <n v="15"/>
    <n v="13"/>
    <n v="2"/>
    <n v="104000"/>
    <s v="In Stock"/>
    <s v=" 📞 Camera Need To  Re-order !! Ph 9813xxxxxx"/>
  </r>
  <r>
    <s v="N1008"/>
    <x v="7"/>
    <n v="799"/>
    <n v="3"/>
    <n v="0"/>
    <n v="3"/>
    <n v="2397"/>
    <s v="In Stock"/>
    <s v=" 📞 Headphones Need To  Re-order !! Ph 9814xxxxxx"/>
  </r>
  <r>
    <s v="N1009"/>
    <x v="8"/>
    <n v="670"/>
    <n v="21"/>
    <n v="0"/>
    <n v="21"/>
    <n v="14070"/>
    <s v="In Stock"/>
    <s v=""/>
  </r>
  <r>
    <s v="N1010"/>
    <x v="9"/>
    <n v="23500"/>
    <n v="60"/>
    <n v="0"/>
    <n v="60"/>
    <n v="1410000"/>
    <s v="In Stock"/>
    <s v=""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  <r>
    <m/>
    <x v="1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0"/>
    <x v="0"/>
    <s v="N1001"/>
    <s v="Smart Watch"/>
    <m/>
    <n v="21"/>
    <n v="9"/>
    <n v="1176"/>
    <n v="10584"/>
  </r>
  <r>
    <n v="101"/>
    <x v="1"/>
    <s v="N1002"/>
    <s v="Laptop HP xyz i5"/>
    <m/>
    <n v="3"/>
    <n v="10"/>
    <n v="41400"/>
    <n v="414000"/>
  </r>
  <r>
    <n v="103"/>
    <x v="2"/>
    <s v="N1003"/>
    <s v="Wireless Printer"/>
    <m/>
    <n v="1"/>
    <n v="19"/>
    <n v="5520"/>
    <n v="104880"/>
  </r>
  <r>
    <n v="104"/>
    <x v="3"/>
    <s v="N1004"/>
    <s v="Desktop"/>
    <m/>
    <n v="-1"/>
    <n v="6"/>
    <n v="25200"/>
    <n v="151200"/>
  </r>
  <r>
    <n v="105"/>
    <x v="4"/>
    <s v="N1005"/>
    <s v="Mouse"/>
    <m/>
    <n v="40"/>
    <n v="7"/>
    <n v="240"/>
    <n v="1680"/>
  </r>
  <r>
    <n v="106"/>
    <x v="5"/>
    <s v="N1006"/>
    <s v="Rgb Keyboard"/>
    <m/>
    <n v="6"/>
    <n v="2"/>
    <n v="408"/>
    <n v="816"/>
  </r>
  <r>
    <n v="100"/>
    <x v="0"/>
    <s v="N1007"/>
    <s v="Camera"/>
    <m/>
    <n v="2"/>
    <n v="3"/>
    <n v="62400"/>
    <n v="187200"/>
  </r>
  <r>
    <n v="103"/>
    <x v="2"/>
    <s v="N1007"/>
    <s v="Camera"/>
    <m/>
    <n v="2"/>
    <n v="10"/>
    <n v="62400"/>
    <n v="624000"/>
  </r>
  <r>
    <n v="101"/>
    <x v="1"/>
    <s v="N1005"/>
    <s v="Mouse"/>
    <m/>
    <n v="40"/>
    <n v="10"/>
    <n v="240"/>
    <n v="2400"/>
  </r>
  <r>
    <m/>
    <x v="6"/>
    <m/>
    <m/>
    <m/>
    <m/>
    <m/>
    <m/>
    <m/>
  </r>
  <r>
    <m/>
    <x v="7"/>
    <m/>
    <s v=""/>
    <m/>
    <s v=""/>
    <m/>
    <s v=""/>
    <s v=""/>
  </r>
  <r>
    <m/>
    <x v="7"/>
    <m/>
    <s v=""/>
    <m/>
    <s v=""/>
    <m/>
    <s v=""/>
    <s v=""/>
  </r>
  <r>
    <m/>
    <x v="7"/>
    <m/>
    <s v="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N1001"/>
    <s v="Smart Watch"/>
    <s v="Tech99"/>
    <d v="2026-01-14T00:00:00"/>
    <n v="10"/>
    <n v="980"/>
    <n v="9800"/>
  </r>
  <r>
    <s v="N1002"/>
    <s v="Laptop HP xyz i5"/>
    <s v="Tech99"/>
    <m/>
    <n v="13"/>
    <n v="34500"/>
    <n v="448500"/>
  </r>
  <r>
    <s v="N1003"/>
    <s v="Wireless Printer"/>
    <s v="Tech99"/>
    <m/>
    <n v="20"/>
    <n v="4600"/>
    <n v="92000"/>
  </r>
  <r>
    <s v="N1004"/>
    <s v="Desktop"/>
    <s v="GG Traders"/>
    <m/>
    <n v="5"/>
    <n v="21000"/>
    <n v="105000"/>
  </r>
  <r>
    <s v="N1005"/>
    <s v="Mouse"/>
    <s v="GG Traders"/>
    <m/>
    <n v="7"/>
    <n v="200"/>
    <n v="1400"/>
  </r>
  <r>
    <s v="N1006"/>
    <s v="Rgb Keyboard"/>
    <s v="GG Traders"/>
    <m/>
    <n v="8"/>
    <n v="340"/>
    <n v="2720"/>
  </r>
  <r>
    <s v="N1007"/>
    <s v="Camera"/>
    <s v="GG Traders"/>
    <m/>
    <n v="5"/>
    <n v="52000"/>
    <n v="260000"/>
  </r>
  <r>
    <s v="N1008"/>
    <s v="Headphones"/>
    <s v="Compac"/>
    <m/>
    <n v="3"/>
    <n v="799"/>
    <n v="2397"/>
  </r>
  <r>
    <s v="N1009"/>
    <s v="Speakers"/>
    <s v="Compac"/>
    <m/>
    <n v="21"/>
    <n v="670"/>
    <n v="14070"/>
  </r>
  <r>
    <s v="N1010"/>
    <s v="Tablets"/>
    <s v="Compac"/>
    <m/>
    <n v="60"/>
    <n v="23500"/>
    <n v="1410000"/>
  </r>
  <r>
    <s v="N1001"/>
    <s v="Smart Watch"/>
    <s v="Tech99"/>
    <m/>
    <n v="20"/>
    <n v="980"/>
    <n v="19600"/>
  </r>
  <r>
    <s v="N1005"/>
    <s v="Mouse"/>
    <s v="GG Traders"/>
    <m/>
    <n v="50"/>
    <n v="200"/>
    <n v="10000"/>
  </r>
  <r>
    <s v="N1007"/>
    <s v="Camera"/>
    <s v="GG Traders"/>
    <d v="2026-11-02T00:00:00"/>
    <n v="10"/>
    <n v="52000"/>
    <n v="520000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"/>
    <s v="Rahul"/>
    <s v="Rahul@gmail.com"/>
    <s v="Delhi, India"/>
  </r>
  <r>
    <n v="101"/>
    <s v="Vikas"/>
    <s v="Rahul@gmail.com"/>
    <s v="121102, Palwal, HR"/>
  </r>
  <r>
    <n v="102"/>
    <s v="Arun"/>
    <s v="Rahul@gmail.com"/>
    <s v="Faridabad, 121101"/>
  </r>
  <r>
    <n v="103"/>
    <s v="Vansh"/>
    <s v="Rahul@gmail.com"/>
    <s v="Agra, UP"/>
  </r>
  <r>
    <n v="104"/>
    <s v="Sahil"/>
    <s v="Rahul@gmail.com"/>
    <s v="New Delhi, 110011"/>
  </r>
  <r>
    <n v="105"/>
    <s v="Lovelesh"/>
    <s v="Rahul@gmail.com"/>
    <s v="Gurgaon, Sec-15"/>
  </r>
  <r>
    <n v="106"/>
    <s v="Sachin"/>
    <s v="Rahul@gmail.com"/>
    <s v="Chandigarh,sector-17"/>
  </r>
  <r>
    <n v="107"/>
    <s v="haslly"/>
    <s v="hally@hmail.com"/>
    <s v="yfykfkyu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773A1-347A-4823-9D57-5A0A4F9D8881}" name="PivotTable9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H13:I19" firstHeaderRow="1" firstDataRow="1" firstDataCol="1"/>
  <pivotFields count="9">
    <pivotField showAll="0"/>
    <pivotField axis="axisRow" showAll="0" measureFilter="1" sortType="descending">
      <items count="9">
        <item x="7"/>
        <item x="4"/>
        <item x="0"/>
        <item x="5"/>
        <item x="3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5"/>
    </i>
    <i>
      <x v="6"/>
    </i>
    <i>
      <x v="2"/>
    </i>
    <i>
      <x v="4"/>
    </i>
    <i>
      <x v="1"/>
    </i>
    <i t="grand">
      <x/>
    </i>
  </rowItems>
  <colItems count="1">
    <i/>
  </colItems>
  <dataFields count="1">
    <dataField name="Sum of Amount" fld="8" baseField="1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38E0D-EE7B-4242-9BCA-CB94BB7C173A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H3:I9" firstHeaderRow="1" firstDataRow="1" firstDataCol="1"/>
  <pivotFields count="9">
    <pivotField showAll="0"/>
    <pivotField axis="axisRow" showAll="0" measureFilter="1" sortType="descending">
      <items count="12">
        <item x="6"/>
        <item x="3"/>
        <item x="7"/>
        <item x="1"/>
        <item x="4"/>
        <item x="5"/>
        <item x="0"/>
        <item x="8"/>
        <item x="9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6">
    <i>
      <x v="9"/>
    </i>
    <i>
      <x v="4"/>
    </i>
    <i>
      <x/>
    </i>
    <i>
      <x v="3"/>
    </i>
    <i>
      <x v="6"/>
    </i>
    <i t="grand">
      <x/>
    </i>
  </rowItems>
  <colItems count="1">
    <i/>
  </colItems>
  <dataFields count="1">
    <dataField name="Sum of S Unit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43AA-9D99-44B4-B8B2-0D8EFEF41EA6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5:B26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32658-C6A4-4C75-93D8-C1218D618894}" name="PivotTable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0:B21" firstHeaderRow="1" firstDataRow="1" firstDataCol="0"/>
  <pivotFields count="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tock" fld="5" baseField="0" baseItem="0"/>
  </dataFields>
  <formats count="3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102BC-099F-4B86-B58B-801E060CE40D}" name="PivotTable4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5:B16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formats count="3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F6D11-8C7E-4841-8C50-3F74AFC2B927}" name="PivotTable3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2:B13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formats count="3"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62F9E-1C98-4627-B88F-BDD59B7BBC95}" name="PivotTable2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8:B9" firstHeaderRow="1" firstDataRow="1" firstDataCol="0"/>
  <pivotFields count="4">
    <pivotField showAll="0"/>
    <pivotField dataField="1" showAll="0"/>
    <pivotField numFmtId="164" showAll="0"/>
    <pivotField numFmtId="164" showAll="0"/>
  </pivotFields>
  <rowItems count="1">
    <i/>
  </rowItems>
  <colItems count="1">
    <i/>
  </colItems>
  <dataFields count="1">
    <dataField name="Count of Product Name" fld="1" subtotal="count" baseField="0" baseItem="0"/>
  </dataFields>
  <formats count="3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F7E04-104E-4FA0-B8FA-7C8ADC794ACE}" name="PivotTable1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B5" firstHeaderRow="1" firstDataRow="1" firstDataCol="0"/>
  <pivotFields count="4"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Cust_Id" fld="0" subtotal="count" baseField="0" baseItem="0"/>
  </dataFields>
  <formats count="3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78783-7D97-4FC1-B193-C88E34374E40}" name="Customerdata" displayName="Customerdata" ref="D8:G16" headerRowDxfId="82" dataDxfId="80" totalsRowDxfId="81">
  <autoFilter ref="D8:G16" xr:uid="{84D78783-7D97-4FC1-B193-C88E34374E40}"/>
  <tableColumns count="4">
    <tableColumn id="1" xr3:uid="{15135910-F9CB-4DE6-A71C-D7F61F4009A4}" name="Cust_Id" totalsRowLabel="Total" dataDxfId="79" totalsRowDxfId="86"/>
    <tableColumn id="2" xr3:uid="{8F0EA011-9D11-4129-B303-519E93DE6417}" name="Name" dataDxfId="78" totalsRowDxfId="85"/>
    <tableColumn id="3" xr3:uid="{53321794-8E5F-438C-9505-35C9B9698F1C}" name="Email" dataDxfId="77" totalsRowDxfId="84" dataCellStyle="Hyperlink"/>
    <tableColumn id="4" xr3:uid="{558F3D5D-52A9-46F5-813C-8FC1B1024BBD}" name="Address" totalsRowFunction="count" dataDxfId="76" totalsRowDxfId="8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E83661-F1BA-4234-8539-5239803C4B9A}" name="productdata" displayName="productdata" ref="D9:G19" totalsRowShown="0" headerRowDxfId="71" dataDxfId="70">
  <autoFilter ref="D9:G19" xr:uid="{8CE83661-F1BA-4234-8539-5239803C4B9A}"/>
  <tableColumns count="4">
    <tableColumn id="1" xr3:uid="{C5F77D65-6D8D-4520-B23A-CE08346E7A03}" name="HSN Code" dataDxfId="75"/>
    <tableColumn id="2" xr3:uid="{B94CB7AE-7FA1-4973-9EDB-5319938828FC}" name="Product Name" dataDxfId="74"/>
    <tableColumn id="3" xr3:uid="{E1F8750E-FB65-4595-8979-D779DD463B75}" name="Cost" dataDxfId="73"/>
    <tableColumn id="4" xr3:uid="{397E6154-62EB-4DAE-A989-44F5EE40FF7A}" name="Selling Price" dataDxfId="7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B17DA9-A5E6-4008-ACFA-BB968046A52A}" name="vendorsdata" displayName="vendorsdata" ref="D9:H19" totalsRowShown="0" headerRowDxfId="64" dataDxfId="63">
  <autoFilter ref="D9:H19" xr:uid="{86B17DA9-A5E6-4008-ACFA-BB968046A52A}"/>
  <tableColumns count="5">
    <tableColumn id="1" xr3:uid="{194CA986-CE45-4230-8FE5-FF740146EBDA}" name="HSN Code" dataDxfId="69"/>
    <tableColumn id="2" xr3:uid="{19BFD060-7E2F-433B-80B9-10BD8E2902AC}" name="Product Name" dataDxfId="68"/>
    <tableColumn id="3" xr3:uid="{142715A3-41D1-4211-A6D2-9B277C15BA85}" name="Vendor Name" dataDxfId="67"/>
    <tableColumn id="4" xr3:uid="{CCCEB7DC-1200-4D06-8B37-3F73666889EB}" name="Phone" dataDxfId="66"/>
    <tableColumn id="5" xr3:uid="{95B013D9-A66E-4882-A40A-27FCE55BE1FF}" name="Address" dataDxfId="6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C21860-B494-4F12-9EFE-F52D3169FACF}" name="Table5" displayName="Table5" ref="D9:J23" totalsRowShown="0" headerRowDxfId="60" dataDxfId="62">
  <autoFilter ref="D9:J23" xr:uid="{3BC21860-B494-4F12-9EFE-F52D3169FACF}"/>
  <tableColumns count="7">
    <tableColumn id="1" xr3:uid="{D947F07A-F714-4F1C-B87E-ECD3E0E74D4F}" name="HSN Code" dataDxfId="59"/>
    <tableColumn id="2" xr3:uid="{7A010750-93F2-4DB7-8FD2-36BDC849173C}" name="Product Name" dataDxfId="58">
      <calculatedColumnFormula>IFERROR(VLOOKUP(Table5[[#This Row],[HSN Code]],productdata[#All],2,0),"")</calculatedColumnFormula>
    </tableColumn>
    <tableColumn id="3" xr3:uid="{22008780-4BC7-46C5-BEA4-1E58400280EB}" name="Vendor" dataDxfId="56">
      <calculatedColumnFormula>IFERROR(VLOOKUP(Table5[[#This Row],[HSN Code]],vendorsdata[#All],3,0),"")</calculatedColumnFormula>
    </tableColumn>
    <tableColumn id="4" xr3:uid="{78C97C37-77D1-48C0-BC35-5099D8873B7E}" name="Date" dataDxfId="54"/>
    <tableColumn id="5" xr3:uid="{C82E0F19-1880-468D-8F96-CB566252AE01}" name="Units" dataDxfId="61"/>
    <tableColumn id="6" xr3:uid="{FD9C21BF-0B4D-4BEE-B3BB-31C1D5326353}" name="Cost" dataDxfId="57">
      <calculatedColumnFormula>IFERROR(VLOOKUP(Table5[[#This Row],[HSN Code]],productdata[#All],3,0),"")</calculatedColumnFormula>
    </tableColumn>
    <tableColumn id="7" xr3:uid="{5E05E52B-9C0B-43DC-AF53-C94D73DF76AB}" name="Amount" dataDxfId="55">
      <calculatedColumnFormula>IFERROR(Table5[[#This Row],[Units]]*Table5[[#This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4DEDCE-25B4-4F69-AF10-DD7C3AB078B8}" name="Table7" displayName="Table7" ref="D9:L22" totalsRowShown="0" headerRowDxfId="51" dataDxfId="46" headerRowBorderDxfId="52" tableBorderDxfId="53">
  <autoFilter ref="D9:L22" xr:uid="{734DEDCE-25B4-4F69-AF10-DD7C3AB078B8}"/>
  <tableColumns count="9">
    <tableColumn id="1" xr3:uid="{E6395162-0F5C-4E8D-8838-92B6A798249A}" name="Cust_ID" dataDxfId="50"/>
    <tableColumn id="2" xr3:uid="{840B097C-2C9E-4BEE-9999-05F1EC45AF31}" name="Cust_Name" dataDxfId="45">
      <calculatedColumnFormula>IFERROR(VLOOKUP(Table7[[#This Row],[Cust_ID]],Customerdata[#All],2,0),"")</calculatedColumnFormula>
    </tableColumn>
    <tableColumn id="3" xr3:uid="{CDB62AC2-0A97-4508-AB3A-815405241DBC}" name="HSN Code" dataDxfId="49"/>
    <tableColumn id="4" xr3:uid="{0263B6F8-A20C-43B6-83D7-32109177AE98}" name="Product Name" dataDxfId="44">
      <calculatedColumnFormula>IFERROR(VLOOKUP(Table7[[#This Row],[HSN Code]],productdata[#All],2,0),"")</calculatedColumnFormula>
    </tableColumn>
    <tableColumn id="5" xr3:uid="{88616E16-9E60-4898-BCF4-3D10C8170FE5}" name="Date" dataDxfId="48"/>
    <tableColumn id="6" xr3:uid="{29C3E0BF-D6F0-4A01-87D9-325C37A5F677}" name="Stock(Units)" dataDxfId="33">
      <calculatedColumnFormula>IFERROR(VLOOKUP(Table7[[#This Row],[HSN Code]],Table8[#All],6,0),"")</calculatedColumnFormula>
    </tableColumn>
    <tableColumn id="7" xr3:uid="{7B3F8E99-123C-4965-BE78-9BC3FBDCCC1D}" name="Units" dataDxfId="47"/>
    <tableColumn id="8" xr3:uid="{86D06034-31BF-424F-A24F-EC3D92E812B8}" name="Price" dataDxfId="43">
      <calculatedColumnFormula>IFERROR(VLOOKUP(Table7[[#This Row],[HSN Code]],productdata[#All],4,0),"")</calculatedColumnFormula>
    </tableColumn>
    <tableColumn id="9" xr3:uid="{5E894D4C-340A-4993-A408-D107BDF21A4C}" name="Amount" dataDxfId="42">
      <calculatedColumnFormula>IFERROR(Table7[[#This Row],[Price]]*Table7[[#This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0ADE72-7CE4-4752-AA6C-10C5A73F7DF4}" name="Table8" displayName="Table8" ref="D9:L27" totalsRowShown="0" headerRowDxfId="38" dataDxfId="39">
  <autoFilter ref="D9:L27" xr:uid="{0F0ADE72-7CE4-4752-AA6C-10C5A73F7DF4}"/>
  <tableColumns count="9">
    <tableColumn id="1" xr3:uid="{27E4FB0B-3475-4728-8A16-77BB28186835}" name="HSN Code" dataDxfId="37">
      <calculatedColumnFormula>productdata[[#This Row],[HSN Code]]</calculatedColumnFormula>
    </tableColumn>
    <tableColumn id="2" xr3:uid="{1AB23AB7-0036-483E-AFF3-7CB1B142722D}" name="Product Name" dataDxfId="41"/>
    <tableColumn id="3" xr3:uid="{30FBB337-8CD7-4B28-996B-DF797C66BD9A}" name="Cost" dataDxfId="40"/>
    <tableColumn id="4" xr3:uid="{B5ABA4F9-196C-46B3-A485-D0BDADC7F29E}" name="P Units" dataDxfId="36">
      <calculatedColumnFormula>SUMIF(Table5[Product Name],Table8[Product Name],Table5[Units])</calculatedColumnFormula>
    </tableColumn>
    <tableColumn id="5" xr3:uid="{ECECFDA2-A596-4561-AD1C-724F912446ED}" name="S Units" dataDxfId="35">
      <calculatedColumnFormula>SUMIF(Table7[Product Name],Table8[Product Name],Table7[Units])</calculatedColumnFormula>
    </tableColumn>
    <tableColumn id="6" xr3:uid="{76C7AE2F-D4BA-437B-A3CD-BE077A39BE53}" name="Stock" dataDxfId="34">
      <calculatedColumnFormula>Table8[[#This Row],[P Units]]-Table8[[#This Row],[S Units]]</calculatedColumnFormula>
    </tableColumn>
    <tableColumn id="7" xr3:uid="{1D1B6784-BDA0-40FE-8D9C-82B8929BDFEF}" name="Stock Amt." dataDxfId="32">
      <calculatedColumnFormula>Table8[[#This Row],[Cost]]*Table8[[#This Row],[Stock]]</calculatedColumnFormula>
    </tableColumn>
    <tableColumn id="8" xr3:uid="{8F8E7630-4B99-4E71-9BED-69449DBEFC51}" name="Staus" dataDxfId="31">
      <calculatedColumnFormula>IF(Table8[[#This Row],[Stock]]&gt;0,"In Stock","Out Of Stock")</calculatedColumnFormula>
    </tableColumn>
    <tableColumn id="9" xr3:uid="{1633EA73-70B7-4723-B6C8-2B12021167BA}" name="Notification" dataDxfId="15">
      <calculatedColumnFormula>IFERROR(IF(Table8[[#This Row],[Stock]]&lt;5," 📞 "&amp; Table8[[#This Row],[Product Name]] &amp;" Need To  Re-order !! Ph " &amp;IFERROR(VLOOKUP(Table8[[#This Row],[HSN Code]],vendorsdata[#All],4,0),""),""),"")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ally@h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Rahul@gmail.com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B9A9-4B4E-42D0-9B9A-98207DEB3397}">
  <dimension ref="B1:W40"/>
  <sheetViews>
    <sheetView topLeftCell="A2" zoomScale="91" zoomScaleNormal="91" workbookViewId="0"/>
  </sheetViews>
  <sheetFormatPr defaultRowHeight="14.4" x14ac:dyDescent="0.3"/>
  <cols>
    <col min="1" max="1" width="4.44140625" style="1" customWidth="1"/>
    <col min="2" max="2" width="28.44140625" style="2" customWidth="1"/>
    <col min="3" max="16384" width="8.88671875" style="1"/>
  </cols>
  <sheetData>
    <row r="1" spans="2:23" x14ac:dyDescent="0.3">
      <c r="B1" s="1"/>
    </row>
    <row r="2" spans="2:23" x14ac:dyDescent="0.3">
      <c r="B2" s="24"/>
    </row>
    <row r="3" spans="2:23" x14ac:dyDescent="0.3">
      <c r="B3" s="25"/>
    </row>
    <row r="4" spans="2:23" x14ac:dyDescent="0.3">
      <c r="B4" s="25"/>
    </row>
    <row r="5" spans="2:23" x14ac:dyDescent="0.3">
      <c r="B5" s="25"/>
    </row>
    <row r="6" spans="2:23" x14ac:dyDescent="0.3">
      <c r="B6" s="25"/>
    </row>
    <row r="7" spans="2:23" x14ac:dyDescent="0.3">
      <c r="B7" s="25"/>
    </row>
    <row r="8" spans="2:23" x14ac:dyDescent="0.3">
      <c r="B8" s="25"/>
    </row>
    <row r="9" spans="2:23" x14ac:dyDescent="0.3">
      <c r="B9" s="25"/>
    </row>
    <row r="10" spans="2:23" x14ac:dyDescent="0.3">
      <c r="B10" s="25"/>
    </row>
    <row r="11" spans="2:23" x14ac:dyDescent="0.3">
      <c r="B11" s="25"/>
    </row>
    <row r="12" spans="2:23" x14ac:dyDescent="0.3">
      <c r="B12" s="25"/>
    </row>
    <row r="13" spans="2:23" x14ac:dyDescent="0.3">
      <c r="B13" s="25"/>
    </row>
    <row r="14" spans="2:23" ht="23.4" x14ac:dyDescent="0.45">
      <c r="B14" s="25"/>
      <c r="R14" s="35" t="s">
        <v>88</v>
      </c>
      <c r="S14" s="34"/>
      <c r="T14" s="34"/>
      <c r="U14" s="34"/>
      <c r="V14" s="34"/>
      <c r="W14" s="34"/>
    </row>
    <row r="15" spans="2:23" x14ac:dyDescent="0.3">
      <c r="B15" s="25"/>
      <c r="R15" s="34"/>
      <c r="S15" s="34"/>
      <c r="T15" s="34"/>
      <c r="U15" s="34"/>
      <c r="V15" s="34"/>
      <c r="W15" s="34"/>
    </row>
    <row r="16" spans="2:23" x14ac:dyDescent="0.3">
      <c r="B16" s="25"/>
      <c r="R16" s="37" t="str">
        <f>Inventory!L11</f>
        <v xml:space="preserve"> 📞 Laptop HP xyz i5 Need To  Re-order !! Ph 9812xxxxxx</v>
      </c>
      <c r="S16" s="37"/>
      <c r="T16" s="37"/>
      <c r="U16" s="37"/>
      <c r="V16" s="37"/>
      <c r="W16" s="37"/>
    </row>
    <row r="17" spans="2:23" x14ac:dyDescent="0.3">
      <c r="B17" s="25"/>
      <c r="R17" s="37" t="str">
        <f>Inventory!L12</f>
        <v xml:space="preserve"> 📞 Wireless Printer Need To  Re-order !! Ph 9812xxxxxx</v>
      </c>
      <c r="S17" s="37"/>
      <c r="T17" s="37"/>
      <c r="U17" s="37"/>
      <c r="V17" s="37"/>
      <c r="W17" s="37"/>
    </row>
    <row r="18" spans="2:23" x14ac:dyDescent="0.3">
      <c r="B18" s="25"/>
      <c r="R18" s="37" t="str">
        <f>Inventory!L13</f>
        <v xml:space="preserve"> 📞 Desktop Need To  Re-order !! Ph 9813xxxxxx</v>
      </c>
      <c r="S18" s="37"/>
      <c r="T18" s="37"/>
      <c r="U18" s="37"/>
      <c r="V18" s="37"/>
      <c r="W18" s="37"/>
    </row>
    <row r="19" spans="2:23" x14ac:dyDescent="0.3">
      <c r="B19" s="25"/>
      <c r="R19" s="37"/>
      <c r="S19" s="37"/>
      <c r="T19" s="37"/>
      <c r="U19" s="37"/>
      <c r="V19" s="37"/>
      <c r="W19" s="37"/>
    </row>
    <row r="20" spans="2:23" x14ac:dyDescent="0.3">
      <c r="B20" s="25"/>
      <c r="R20" s="37"/>
      <c r="S20" s="37"/>
      <c r="T20" s="37"/>
      <c r="U20" s="37"/>
      <c r="V20" s="37"/>
      <c r="W20" s="37"/>
    </row>
    <row r="21" spans="2:23" x14ac:dyDescent="0.3">
      <c r="B21" s="25"/>
      <c r="R21" s="37" t="str">
        <f>Inventory!L16</f>
        <v xml:space="preserve"> 📞 Camera Need To  Re-order !! Ph 9813xxxxxx</v>
      </c>
      <c r="S21" s="37"/>
      <c r="T21" s="37"/>
      <c r="U21" s="37"/>
      <c r="V21" s="37"/>
      <c r="W21" s="37"/>
    </row>
    <row r="22" spans="2:23" x14ac:dyDescent="0.3">
      <c r="B22" s="25"/>
      <c r="R22" s="37" t="str">
        <f>Inventory!L17</f>
        <v xml:space="preserve"> 📞 Headphones Need To  Re-order !! Ph 9814xxxxxx</v>
      </c>
      <c r="S22" s="37"/>
      <c r="T22" s="37"/>
      <c r="U22" s="37"/>
      <c r="V22" s="37"/>
      <c r="W22" s="37"/>
    </row>
    <row r="23" spans="2:23" x14ac:dyDescent="0.3">
      <c r="B23" s="25"/>
      <c r="R23" s="37" t="str">
        <f>Inventory!L18</f>
        <v/>
      </c>
      <c r="S23" s="37"/>
      <c r="T23" s="37"/>
      <c r="U23" s="37"/>
      <c r="V23" s="37"/>
      <c r="W23" s="37"/>
    </row>
    <row r="24" spans="2:23" x14ac:dyDescent="0.3">
      <c r="B24" s="25"/>
      <c r="R24" s="37" t="str">
        <f>Inventory!L19</f>
        <v/>
      </c>
      <c r="S24" s="37"/>
      <c r="T24" s="37"/>
      <c r="U24" s="37"/>
      <c r="V24" s="37"/>
      <c r="W24" s="37"/>
    </row>
    <row r="25" spans="2:23" x14ac:dyDescent="0.3">
      <c r="B25" s="25"/>
      <c r="R25" s="37"/>
      <c r="S25" s="37"/>
      <c r="T25" s="37"/>
      <c r="U25" s="37"/>
      <c r="V25" s="37"/>
      <c r="W25" s="37"/>
    </row>
    <row r="26" spans="2:23" x14ac:dyDescent="0.3">
      <c r="B26" s="25"/>
      <c r="R26" s="37"/>
      <c r="S26" s="37"/>
      <c r="T26" s="37"/>
      <c r="U26" s="37"/>
      <c r="V26" s="37"/>
      <c r="W26" s="37"/>
    </row>
    <row r="27" spans="2:23" x14ac:dyDescent="0.3">
      <c r="B27" s="25"/>
      <c r="R27" s="37"/>
      <c r="S27" s="37"/>
      <c r="T27" s="37"/>
      <c r="U27" s="37"/>
      <c r="V27" s="37"/>
      <c r="W27" s="37"/>
    </row>
    <row r="28" spans="2:23" x14ac:dyDescent="0.3">
      <c r="B28" s="25"/>
      <c r="R28" s="37"/>
      <c r="S28" s="37"/>
      <c r="T28" s="37"/>
      <c r="U28" s="37"/>
      <c r="V28" s="37"/>
      <c r="W28" s="37"/>
    </row>
    <row r="29" spans="2:23" x14ac:dyDescent="0.3">
      <c r="B29" s="25"/>
      <c r="S29" s="40"/>
      <c r="T29" s="40"/>
      <c r="U29" s="40"/>
      <c r="V29" s="40"/>
      <c r="W29" s="40"/>
    </row>
    <row r="30" spans="2:23" x14ac:dyDescent="0.3">
      <c r="B30" s="25"/>
      <c r="W30" s="40"/>
    </row>
    <row r="31" spans="2:23" x14ac:dyDescent="0.3">
      <c r="B31" s="26"/>
    </row>
    <row r="32" spans="2:23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574C-7991-44E2-866E-6B83B22B66C8}">
  <dimension ref="B1:G26"/>
  <sheetViews>
    <sheetView zoomScale="92" zoomScaleNormal="92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4.4" x14ac:dyDescent="0.3"/>
  <cols>
    <col min="1" max="1" width="4.44140625" style="1" customWidth="1"/>
    <col min="2" max="2" width="27.5546875" style="2" customWidth="1"/>
    <col min="3" max="3" width="3.44140625" style="1" customWidth="1"/>
    <col min="4" max="4" width="21.33203125" style="1" customWidth="1"/>
    <col min="5" max="5" width="23.21875" style="1" customWidth="1"/>
    <col min="6" max="6" width="36.33203125" style="1" customWidth="1"/>
    <col min="7" max="7" width="39.33203125" style="1" customWidth="1"/>
    <col min="8" max="16384" width="8.88671875" style="1"/>
  </cols>
  <sheetData>
    <row r="1" spans="2:7" x14ac:dyDescent="0.3">
      <c r="B1" s="1"/>
    </row>
    <row r="2" spans="2:7" x14ac:dyDescent="0.3">
      <c r="B2" s="24"/>
    </row>
    <row r="3" spans="2:7" x14ac:dyDescent="0.3">
      <c r="B3" s="25"/>
    </row>
    <row r="4" spans="2:7" x14ac:dyDescent="0.3">
      <c r="B4" s="25"/>
    </row>
    <row r="5" spans="2:7" x14ac:dyDescent="0.3">
      <c r="B5" s="25"/>
    </row>
    <row r="6" spans="2:7" x14ac:dyDescent="0.3">
      <c r="B6" s="25"/>
    </row>
    <row r="7" spans="2:7" x14ac:dyDescent="0.3">
      <c r="B7" s="25"/>
    </row>
    <row r="8" spans="2:7" ht="23.4" x14ac:dyDescent="0.45">
      <c r="B8" s="25"/>
      <c r="D8" s="8" t="s">
        <v>10</v>
      </c>
      <c r="E8" s="8" t="s">
        <v>1</v>
      </c>
      <c r="F8" s="9" t="s">
        <v>2</v>
      </c>
      <c r="G8" s="9" t="s">
        <v>3</v>
      </c>
    </row>
    <row r="9" spans="2:7" ht="23.4" x14ac:dyDescent="0.45">
      <c r="B9" s="25"/>
      <c r="D9" s="10">
        <v>100</v>
      </c>
      <c r="E9" s="10" t="s">
        <v>11</v>
      </c>
      <c r="F9" s="11" t="s">
        <v>18</v>
      </c>
      <c r="G9" s="12" t="s">
        <v>4</v>
      </c>
    </row>
    <row r="10" spans="2:7" ht="23.4" x14ac:dyDescent="0.45">
      <c r="B10" s="25"/>
      <c r="D10" s="10">
        <v>101</v>
      </c>
      <c r="E10" s="10" t="s">
        <v>12</v>
      </c>
      <c r="F10" s="11" t="s">
        <v>18</v>
      </c>
      <c r="G10" s="12" t="s">
        <v>5</v>
      </c>
    </row>
    <row r="11" spans="2:7" ht="23.4" x14ac:dyDescent="0.45">
      <c r="B11" s="25"/>
      <c r="D11" s="10">
        <v>102</v>
      </c>
      <c r="E11" s="10" t="s">
        <v>13</v>
      </c>
      <c r="F11" s="11" t="s">
        <v>18</v>
      </c>
      <c r="G11" s="12" t="s">
        <v>6</v>
      </c>
    </row>
    <row r="12" spans="2:7" ht="23.4" x14ac:dyDescent="0.45">
      <c r="B12" s="25"/>
      <c r="D12" s="10">
        <v>103</v>
      </c>
      <c r="E12" s="10" t="s">
        <v>14</v>
      </c>
      <c r="F12" s="11" t="s">
        <v>18</v>
      </c>
      <c r="G12" s="12" t="s">
        <v>7</v>
      </c>
    </row>
    <row r="13" spans="2:7" ht="23.4" x14ac:dyDescent="0.45">
      <c r="B13" s="25"/>
      <c r="D13" s="10">
        <v>104</v>
      </c>
      <c r="E13" s="10" t="s">
        <v>15</v>
      </c>
      <c r="F13" s="11" t="s">
        <v>18</v>
      </c>
      <c r="G13" s="12" t="s">
        <v>8</v>
      </c>
    </row>
    <row r="14" spans="2:7" ht="23.4" x14ac:dyDescent="0.45">
      <c r="B14" s="25"/>
      <c r="D14" s="10">
        <v>105</v>
      </c>
      <c r="E14" s="10" t="s">
        <v>16</v>
      </c>
      <c r="F14" s="11" t="s">
        <v>18</v>
      </c>
      <c r="G14" s="12" t="s">
        <v>9</v>
      </c>
    </row>
    <row r="15" spans="2:7" ht="23.4" x14ac:dyDescent="0.45">
      <c r="B15" s="25"/>
      <c r="D15" s="10">
        <v>106</v>
      </c>
      <c r="E15" s="10" t="s">
        <v>17</v>
      </c>
      <c r="F15" s="11" t="s">
        <v>18</v>
      </c>
      <c r="G15" s="12" t="s">
        <v>19</v>
      </c>
    </row>
    <row r="16" spans="2:7" ht="23.4" x14ac:dyDescent="0.45">
      <c r="B16" s="25"/>
      <c r="D16" s="38">
        <v>107</v>
      </c>
      <c r="E16" s="38" t="s">
        <v>91</v>
      </c>
      <c r="F16" s="4" t="s">
        <v>92</v>
      </c>
      <c r="G16" s="39" t="s">
        <v>93</v>
      </c>
    </row>
    <row r="17" spans="2:2" x14ac:dyDescent="0.3">
      <c r="B17" s="25"/>
    </row>
    <row r="18" spans="2:2" x14ac:dyDescent="0.3">
      <c r="B18" s="25"/>
    </row>
    <row r="19" spans="2:2" x14ac:dyDescent="0.3">
      <c r="B19" s="25"/>
    </row>
    <row r="20" spans="2:2" x14ac:dyDescent="0.3">
      <c r="B20" s="25"/>
    </row>
    <row r="21" spans="2:2" x14ac:dyDescent="0.3">
      <c r="B21" s="25"/>
    </row>
    <row r="22" spans="2:2" x14ac:dyDescent="0.3">
      <c r="B22" s="25"/>
    </row>
    <row r="23" spans="2:2" x14ac:dyDescent="0.3">
      <c r="B23" s="25"/>
    </row>
    <row r="24" spans="2:2" x14ac:dyDescent="0.3">
      <c r="B24" s="25"/>
    </row>
    <row r="25" spans="2:2" x14ac:dyDescent="0.3">
      <c r="B25" s="25"/>
    </row>
    <row r="26" spans="2:2" x14ac:dyDescent="0.3">
      <c r="B26" s="26"/>
    </row>
  </sheetData>
  <phoneticPr fontId="4" type="noConversion"/>
  <hyperlinks>
    <hyperlink ref="F9" r:id="rId1" xr:uid="{13B35D1F-89E9-417F-BE77-6EF2FF7ABA6C}"/>
    <hyperlink ref="F10:F15" r:id="rId2" display="Rahul@gmail.com" xr:uid="{D152F365-5534-41C7-B398-CDC5373E3C98}"/>
    <hyperlink ref="F16" r:id="rId3" xr:uid="{6192732F-8B95-436B-82D8-29366F7C1C6B}"/>
  </hyperlinks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FAC0-3640-4515-B780-90EE125652DD}">
  <dimension ref="B1:G27"/>
  <sheetViews>
    <sheetView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4.4" x14ac:dyDescent="0.3"/>
  <cols>
    <col min="1" max="1" width="4.44140625" style="1" customWidth="1"/>
    <col min="2" max="2" width="28.44140625" style="2" customWidth="1"/>
    <col min="3" max="3" width="3.5546875" style="1" customWidth="1"/>
    <col min="4" max="4" width="22.44140625" style="1" customWidth="1"/>
    <col min="5" max="5" width="29.21875" style="1" customWidth="1"/>
    <col min="6" max="6" width="24.21875" style="1" customWidth="1"/>
    <col min="7" max="7" width="32.21875" style="1" customWidth="1"/>
    <col min="8" max="16384" width="8.88671875" style="1"/>
  </cols>
  <sheetData>
    <row r="1" spans="2:7" x14ac:dyDescent="0.3">
      <c r="B1" s="1"/>
    </row>
    <row r="2" spans="2:7" x14ac:dyDescent="0.3">
      <c r="B2" s="24"/>
    </row>
    <row r="3" spans="2:7" x14ac:dyDescent="0.3">
      <c r="B3" s="25"/>
    </row>
    <row r="4" spans="2:7" x14ac:dyDescent="0.3">
      <c r="B4" s="25"/>
    </row>
    <row r="5" spans="2:7" x14ac:dyDescent="0.3">
      <c r="B5" s="25"/>
    </row>
    <row r="6" spans="2:7" x14ac:dyDescent="0.3">
      <c r="B6" s="25"/>
    </row>
    <row r="7" spans="2:7" x14ac:dyDescent="0.3">
      <c r="B7" s="25"/>
    </row>
    <row r="8" spans="2:7" x14ac:dyDescent="0.3">
      <c r="B8" s="25"/>
    </row>
    <row r="9" spans="2:7" ht="21" x14ac:dyDescent="0.4">
      <c r="B9" s="25"/>
      <c r="D9" s="5" t="s">
        <v>20</v>
      </c>
      <c r="E9" s="5" t="s">
        <v>21</v>
      </c>
      <c r="F9" s="5" t="s">
        <v>22</v>
      </c>
      <c r="G9" s="5" t="s">
        <v>23</v>
      </c>
    </row>
    <row r="10" spans="2:7" ht="21" x14ac:dyDescent="0.4">
      <c r="B10" s="25"/>
      <c r="D10" s="5" t="s">
        <v>24</v>
      </c>
      <c r="E10" s="5" t="s">
        <v>25</v>
      </c>
      <c r="F10" s="13">
        <v>980</v>
      </c>
      <c r="G10" s="13">
        <v>1176</v>
      </c>
    </row>
    <row r="11" spans="2:7" ht="21" x14ac:dyDescent="0.4">
      <c r="B11" s="25"/>
      <c r="D11" s="5" t="s">
        <v>26</v>
      </c>
      <c r="E11" s="5" t="s">
        <v>27</v>
      </c>
      <c r="F11" s="13">
        <v>34500</v>
      </c>
      <c r="G11" s="13">
        <v>41400</v>
      </c>
    </row>
    <row r="12" spans="2:7" ht="21" x14ac:dyDescent="0.4">
      <c r="B12" s="25"/>
      <c r="D12" s="5" t="s">
        <v>28</v>
      </c>
      <c r="E12" s="5" t="s">
        <v>29</v>
      </c>
      <c r="F12" s="13">
        <v>4600</v>
      </c>
      <c r="G12" s="13">
        <v>5520</v>
      </c>
    </row>
    <row r="13" spans="2:7" ht="21" x14ac:dyDescent="0.4">
      <c r="B13" s="25"/>
      <c r="D13" s="5" t="s">
        <v>30</v>
      </c>
      <c r="E13" s="5" t="s">
        <v>31</v>
      </c>
      <c r="F13" s="13">
        <v>21000</v>
      </c>
      <c r="G13" s="13">
        <v>25200</v>
      </c>
    </row>
    <row r="14" spans="2:7" ht="21" x14ac:dyDescent="0.4">
      <c r="B14" s="25"/>
      <c r="D14" s="5" t="s">
        <v>32</v>
      </c>
      <c r="E14" s="5" t="s">
        <v>33</v>
      </c>
      <c r="F14" s="13">
        <v>200</v>
      </c>
      <c r="G14" s="13">
        <v>240</v>
      </c>
    </row>
    <row r="15" spans="2:7" ht="21" x14ac:dyDescent="0.4">
      <c r="B15" s="25"/>
      <c r="D15" s="5" t="s">
        <v>34</v>
      </c>
      <c r="E15" s="5" t="s">
        <v>35</v>
      </c>
      <c r="F15" s="13">
        <v>340</v>
      </c>
      <c r="G15" s="13">
        <v>408</v>
      </c>
    </row>
    <row r="16" spans="2:7" ht="21" x14ac:dyDescent="0.4">
      <c r="B16" s="25"/>
      <c r="D16" s="5" t="s">
        <v>36</v>
      </c>
      <c r="E16" s="5" t="s">
        <v>37</v>
      </c>
      <c r="F16" s="13">
        <v>52000</v>
      </c>
      <c r="G16" s="13">
        <v>62400</v>
      </c>
    </row>
    <row r="17" spans="2:7" ht="21" x14ac:dyDescent="0.4">
      <c r="B17" s="25"/>
      <c r="D17" s="5" t="s">
        <v>38</v>
      </c>
      <c r="E17" s="5" t="s">
        <v>39</v>
      </c>
      <c r="F17" s="13">
        <v>799</v>
      </c>
      <c r="G17" s="13">
        <v>958.8</v>
      </c>
    </row>
    <row r="18" spans="2:7" ht="21" x14ac:dyDescent="0.4">
      <c r="B18" s="25"/>
      <c r="D18" s="5" t="s">
        <v>40</v>
      </c>
      <c r="E18" s="5" t="s">
        <v>41</v>
      </c>
      <c r="F18" s="13">
        <v>670</v>
      </c>
      <c r="G18" s="13">
        <v>804</v>
      </c>
    </row>
    <row r="19" spans="2:7" ht="21" x14ac:dyDescent="0.4">
      <c r="B19" s="25"/>
      <c r="D19" s="5" t="s">
        <v>42</v>
      </c>
      <c r="E19" s="5" t="s">
        <v>43</v>
      </c>
      <c r="F19" s="13">
        <v>23500</v>
      </c>
      <c r="G19" s="13">
        <v>28200</v>
      </c>
    </row>
    <row r="20" spans="2:7" x14ac:dyDescent="0.3">
      <c r="B20" s="25"/>
    </row>
    <row r="21" spans="2:7" x14ac:dyDescent="0.3">
      <c r="B21" s="25"/>
    </row>
    <row r="22" spans="2:7" x14ac:dyDescent="0.3">
      <c r="B22" s="25"/>
    </row>
    <row r="23" spans="2:7" x14ac:dyDescent="0.3">
      <c r="B23" s="25"/>
    </row>
    <row r="24" spans="2:7" x14ac:dyDescent="0.3">
      <c r="B24" s="25"/>
    </row>
    <row r="25" spans="2:7" x14ac:dyDescent="0.3">
      <c r="B25" s="25"/>
    </row>
    <row r="26" spans="2:7" x14ac:dyDescent="0.3">
      <c r="B26" s="25"/>
    </row>
    <row r="27" spans="2:7" x14ac:dyDescent="0.3">
      <c r="B27" s="26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6266-C963-4A4E-A046-0D4C69561782}">
  <dimension ref="B1:H26"/>
  <sheetViews>
    <sheetView zoomScale="90" zoomScaleNormal="90" workbookViewId="0">
      <pane xSplit="3" ySplit="9" topLeftCell="D12" activePane="bottomRight" state="frozen"/>
      <selection pane="topRight" activeCell="D1" sqref="D1"/>
      <selection pane="bottomLeft" activeCell="A10" sqref="A10"/>
      <selection pane="bottomRight" activeCell="G12" sqref="G12"/>
    </sheetView>
  </sheetViews>
  <sheetFormatPr defaultRowHeight="14.4" x14ac:dyDescent="0.3"/>
  <cols>
    <col min="1" max="1" width="4.44140625" style="1" customWidth="1"/>
    <col min="2" max="2" width="28.44140625" style="2" customWidth="1"/>
    <col min="3" max="3" width="3.44140625" style="1" customWidth="1"/>
    <col min="4" max="4" width="21.109375" style="1" customWidth="1"/>
    <col min="5" max="5" width="27.33203125" style="1" customWidth="1"/>
    <col min="6" max="6" width="27.21875" style="1" customWidth="1"/>
    <col min="7" max="7" width="22.5546875" style="1" customWidth="1"/>
    <col min="8" max="8" width="37.109375" style="1" customWidth="1"/>
    <col min="9" max="16384" width="8.88671875" style="1"/>
  </cols>
  <sheetData>
    <row r="1" spans="2:8" x14ac:dyDescent="0.3">
      <c r="B1" s="1"/>
    </row>
    <row r="2" spans="2:8" x14ac:dyDescent="0.3">
      <c r="B2" s="24"/>
    </row>
    <row r="3" spans="2:8" x14ac:dyDescent="0.3">
      <c r="B3" s="25"/>
    </row>
    <row r="4" spans="2:8" x14ac:dyDescent="0.3">
      <c r="B4" s="25"/>
    </row>
    <row r="5" spans="2:8" x14ac:dyDescent="0.3">
      <c r="B5" s="25"/>
    </row>
    <row r="6" spans="2:8" x14ac:dyDescent="0.3">
      <c r="B6" s="25"/>
    </row>
    <row r="7" spans="2:8" x14ac:dyDescent="0.3">
      <c r="B7" s="25"/>
    </row>
    <row r="8" spans="2:8" x14ac:dyDescent="0.3">
      <c r="B8" s="25"/>
    </row>
    <row r="9" spans="2:8" ht="21" x14ac:dyDescent="0.4">
      <c r="B9" s="25"/>
      <c r="D9" s="5" t="s">
        <v>20</v>
      </c>
      <c r="E9" s="5" t="s">
        <v>21</v>
      </c>
      <c r="F9" s="5" t="s">
        <v>44</v>
      </c>
      <c r="G9" s="5" t="s">
        <v>45</v>
      </c>
      <c r="H9" s="5" t="s">
        <v>3</v>
      </c>
    </row>
    <row r="10" spans="2:8" ht="21" x14ac:dyDescent="0.4">
      <c r="B10" s="25"/>
      <c r="D10" s="5" t="s">
        <v>24</v>
      </c>
      <c r="E10" s="5" t="s">
        <v>25</v>
      </c>
      <c r="F10" s="5" t="s">
        <v>46</v>
      </c>
      <c r="G10" s="5" t="s">
        <v>47</v>
      </c>
      <c r="H10" s="5" t="s">
        <v>6</v>
      </c>
    </row>
    <row r="11" spans="2:8" ht="21" x14ac:dyDescent="0.4">
      <c r="B11" s="25"/>
      <c r="D11" s="5" t="s">
        <v>26</v>
      </c>
      <c r="E11" s="5" t="s">
        <v>27</v>
      </c>
      <c r="F11" s="5" t="s">
        <v>46</v>
      </c>
      <c r="G11" s="5" t="s">
        <v>47</v>
      </c>
      <c r="H11" s="5" t="s">
        <v>48</v>
      </c>
    </row>
    <row r="12" spans="2:8" ht="21" x14ac:dyDescent="0.4">
      <c r="B12" s="25"/>
      <c r="D12" s="5" t="s">
        <v>28</v>
      </c>
      <c r="E12" s="5" t="s">
        <v>29</v>
      </c>
      <c r="F12" s="5" t="s">
        <v>46</v>
      </c>
      <c r="G12" s="5" t="s">
        <v>47</v>
      </c>
      <c r="H12" s="5" t="s">
        <v>49</v>
      </c>
    </row>
    <row r="13" spans="2:8" ht="21" x14ac:dyDescent="0.4">
      <c r="B13" s="25"/>
      <c r="D13" s="5" t="s">
        <v>30</v>
      </c>
      <c r="E13" s="5" t="s">
        <v>31</v>
      </c>
      <c r="F13" s="5" t="s">
        <v>50</v>
      </c>
      <c r="G13" s="5" t="s">
        <v>51</v>
      </c>
      <c r="H13" s="5" t="s">
        <v>9</v>
      </c>
    </row>
    <row r="14" spans="2:8" ht="21" x14ac:dyDescent="0.4">
      <c r="B14" s="25"/>
      <c r="D14" s="5" t="s">
        <v>32</v>
      </c>
      <c r="E14" s="5" t="s">
        <v>33</v>
      </c>
      <c r="F14" s="5" t="s">
        <v>50</v>
      </c>
      <c r="G14" s="5" t="s">
        <v>51</v>
      </c>
      <c r="H14" s="5" t="s">
        <v>52</v>
      </c>
    </row>
    <row r="15" spans="2:8" ht="21" x14ac:dyDescent="0.4">
      <c r="B15" s="25"/>
      <c r="D15" s="5" t="s">
        <v>34</v>
      </c>
      <c r="E15" s="5" t="s">
        <v>35</v>
      </c>
      <c r="F15" s="5" t="s">
        <v>50</v>
      </c>
      <c r="G15" s="5" t="s">
        <v>51</v>
      </c>
      <c r="H15" s="5" t="s">
        <v>53</v>
      </c>
    </row>
    <row r="16" spans="2:8" ht="21" x14ac:dyDescent="0.4">
      <c r="B16" s="25"/>
      <c r="D16" s="5" t="s">
        <v>36</v>
      </c>
      <c r="E16" s="5" t="s">
        <v>37</v>
      </c>
      <c r="F16" s="5" t="s">
        <v>50</v>
      </c>
      <c r="G16" s="5" t="s">
        <v>51</v>
      </c>
      <c r="H16" s="5" t="s">
        <v>54</v>
      </c>
    </row>
    <row r="17" spans="2:8" ht="21" x14ac:dyDescent="0.4">
      <c r="B17" s="25"/>
      <c r="D17" s="5" t="s">
        <v>38</v>
      </c>
      <c r="E17" s="5" t="s">
        <v>39</v>
      </c>
      <c r="F17" s="5" t="s">
        <v>55</v>
      </c>
      <c r="G17" s="5" t="s">
        <v>56</v>
      </c>
      <c r="H17" s="5" t="s">
        <v>57</v>
      </c>
    </row>
    <row r="18" spans="2:8" ht="21" x14ac:dyDescent="0.4">
      <c r="B18" s="25"/>
      <c r="D18" s="5" t="s">
        <v>40</v>
      </c>
      <c r="E18" s="5" t="s">
        <v>41</v>
      </c>
      <c r="F18" s="5" t="s">
        <v>55</v>
      </c>
      <c r="G18" s="5" t="s">
        <v>56</v>
      </c>
      <c r="H18" s="5" t="s">
        <v>58</v>
      </c>
    </row>
    <row r="19" spans="2:8" ht="21" x14ac:dyDescent="0.4">
      <c r="B19" s="25"/>
      <c r="D19" s="5" t="s">
        <v>42</v>
      </c>
      <c r="E19" s="5" t="s">
        <v>43</v>
      </c>
      <c r="F19" s="5" t="s">
        <v>55</v>
      </c>
      <c r="G19" s="5" t="s">
        <v>56</v>
      </c>
      <c r="H19" s="5" t="s">
        <v>59</v>
      </c>
    </row>
    <row r="20" spans="2:8" x14ac:dyDescent="0.3">
      <c r="B20" s="25"/>
    </row>
    <row r="21" spans="2:8" x14ac:dyDescent="0.3">
      <c r="B21" s="25"/>
    </row>
    <row r="22" spans="2:8" x14ac:dyDescent="0.3">
      <c r="B22" s="25"/>
    </row>
    <row r="23" spans="2:8" x14ac:dyDescent="0.3">
      <c r="B23" s="25"/>
    </row>
    <row r="24" spans="2:8" x14ac:dyDescent="0.3">
      <c r="B24" s="25"/>
    </row>
    <row r="25" spans="2:8" x14ac:dyDescent="0.3">
      <c r="B25" s="25"/>
    </row>
    <row r="26" spans="2:8" x14ac:dyDescent="0.3">
      <c r="B26" s="26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A33-4D40-4BEE-8C3F-B285A9F3E305}">
  <dimension ref="B1:F28"/>
  <sheetViews>
    <sheetView zoomScale="90" zoomScaleNormal="90" workbookViewId="0">
      <selection activeCell="E11" sqref="E11"/>
    </sheetView>
  </sheetViews>
  <sheetFormatPr defaultRowHeight="14.4" x14ac:dyDescent="0.3"/>
  <cols>
    <col min="1" max="1" width="4.44140625" style="1" customWidth="1"/>
    <col min="2" max="2" width="28.44140625" style="2" customWidth="1"/>
    <col min="3" max="4" width="8.88671875" style="1"/>
    <col min="5" max="5" width="46.33203125" style="1" customWidth="1"/>
    <col min="6" max="16384" width="8.88671875" style="1"/>
  </cols>
  <sheetData>
    <row r="1" spans="2:6" x14ac:dyDescent="0.3">
      <c r="B1" s="1"/>
    </row>
    <row r="2" spans="2:6" x14ac:dyDescent="0.3">
      <c r="B2" s="24"/>
    </row>
    <row r="3" spans="2:6" x14ac:dyDescent="0.3">
      <c r="B3" s="25"/>
    </row>
    <row r="4" spans="2:6" x14ac:dyDescent="0.3">
      <c r="B4" s="25"/>
    </row>
    <row r="5" spans="2:6" x14ac:dyDescent="0.3">
      <c r="B5" s="25"/>
    </row>
    <row r="6" spans="2:6" x14ac:dyDescent="0.3">
      <c r="B6" s="25"/>
    </row>
    <row r="7" spans="2:6" x14ac:dyDescent="0.3">
      <c r="B7" s="25"/>
    </row>
    <row r="8" spans="2:6" x14ac:dyDescent="0.3">
      <c r="B8" s="25"/>
    </row>
    <row r="9" spans="2:6" x14ac:dyDescent="0.3">
      <c r="B9" s="25"/>
    </row>
    <row r="10" spans="2:6" x14ac:dyDescent="0.3">
      <c r="B10" s="25"/>
    </row>
    <row r="11" spans="2:6" ht="36.6" x14ac:dyDescent="0.7">
      <c r="B11" s="25"/>
      <c r="D11" s="7"/>
      <c r="E11" s="15" t="s">
        <v>60</v>
      </c>
      <c r="F11" s="14"/>
    </row>
    <row r="12" spans="2:6" x14ac:dyDescent="0.3">
      <c r="B12" s="25"/>
      <c r="D12" s="7"/>
      <c r="E12" s="16"/>
    </row>
    <row r="13" spans="2:6" x14ac:dyDescent="0.3">
      <c r="B13" s="25"/>
      <c r="D13" s="7"/>
      <c r="E13" s="16"/>
    </row>
    <row r="14" spans="2:6" ht="36.6" x14ac:dyDescent="0.7">
      <c r="B14" s="25"/>
      <c r="D14" s="7"/>
      <c r="E14" s="15" t="s">
        <v>61</v>
      </c>
    </row>
    <row r="15" spans="2:6" x14ac:dyDescent="0.3">
      <c r="B15" s="25"/>
    </row>
    <row r="16" spans="2:6" x14ac:dyDescent="0.3">
      <c r="B16" s="25"/>
    </row>
    <row r="17" spans="2:2" x14ac:dyDescent="0.3">
      <c r="B17" s="25"/>
    </row>
    <row r="18" spans="2:2" x14ac:dyDescent="0.3">
      <c r="B18" s="25"/>
    </row>
    <row r="19" spans="2:2" x14ac:dyDescent="0.3">
      <c r="B19" s="25"/>
    </row>
    <row r="20" spans="2:2" x14ac:dyDescent="0.3">
      <c r="B20" s="25"/>
    </row>
    <row r="21" spans="2:2" x14ac:dyDescent="0.3">
      <c r="B21" s="25"/>
    </row>
    <row r="22" spans="2:2" x14ac:dyDescent="0.3">
      <c r="B22" s="25"/>
    </row>
    <row r="23" spans="2:2" x14ac:dyDescent="0.3">
      <c r="B23" s="25"/>
    </row>
    <row r="24" spans="2:2" x14ac:dyDescent="0.3">
      <c r="B24" s="25"/>
    </row>
    <row r="25" spans="2:2" x14ac:dyDescent="0.3">
      <c r="B25" s="25"/>
    </row>
    <row r="26" spans="2:2" x14ac:dyDescent="0.3">
      <c r="B26" s="25"/>
    </row>
    <row r="27" spans="2:2" x14ac:dyDescent="0.3">
      <c r="B27" s="25"/>
    </row>
    <row r="28" spans="2:2" x14ac:dyDescent="0.3">
      <c r="B28" s="26"/>
    </row>
  </sheetData>
  <hyperlinks>
    <hyperlink ref="E11" location="Purchase!A1" display="Purchase Entry" xr:uid="{2349491E-370E-41B7-A440-07A0FC572CC6}"/>
    <hyperlink ref="E14" location="Sales!A1" display="Sales Entry" xr:uid="{498B3B56-981E-493C-A0C7-61B25CAB70D5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B109-3195-4D50-84A1-B748F51D7D38}">
  <dimension ref="B1:J32"/>
  <sheetViews>
    <sheetView zoomScale="90" zoomScaleNormal="9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12" sqref="E12"/>
    </sheetView>
  </sheetViews>
  <sheetFormatPr defaultRowHeight="14.4" x14ac:dyDescent="0.3"/>
  <cols>
    <col min="1" max="1" width="4.44140625" style="1" customWidth="1"/>
    <col min="2" max="2" width="28.44140625" style="2" customWidth="1"/>
    <col min="3" max="3" width="3.44140625" style="1" customWidth="1"/>
    <col min="4" max="4" width="19.77734375" style="1" customWidth="1"/>
    <col min="5" max="5" width="24.21875" style="1" customWidth="1"/>
    <col min="6" max="6" width="14.44140625" style="1" customWidth="1"/>
    <col min="7" max="7" width="14" style="1" customWidth="1"/>
    <col min="8" max="8" width="14.21875" style="1" customWidth="1"/>
    <col min="9" max="9" width="8.88671875" style="1"/>
    <col min="10" max="10" width="14.21875" style="1" customWidth="1"/>
    <col min="11" max="16384" width="8.88671875" style="1"/>
  </cols>
  <sheetData>
    <row r="1" spans="2:10" x14ac:dyDescent="0.3">
      <c r="B1" s="1"/>
    </row>
    <row r="2" spans="2:10" x14ac:dyDescent="0.3">
      <c r="B2" s="24"/>
    </row>
    <row r="3" spans="2:10" x14ac:dyDescent="0.3">
      <c r="B3" s="25"/>
    </row>
    <row r="4" spans="2:10" x14ac:dyDescent="0.3">
      <c r="B4" s="25"/>
    </row>
    <row r="5" spans="2:10" x14ac:dyDescent="0.3">
      <c r="B5" s="25"/>
    </row>
    <row r="6" spans="2:10" x14ac:dyDescent="0.3">
      <c r="B6" s="25"/>
    </row>
    <row r="7" spans="2:10" x14ac:dyDescent="0.3">
      <c r="B7" s="25"/>
    </row>
    <row r="8" spans="2:10" x14ac:dyDescent="0.3">
      <c r="B8" s="25"/>
    </row>
    <row r="9" spans="2:10" x14ac:dyDescent="0.3">
      <c r="B9" s="25"/>
      <c r="D9" s="17" t="s">
        <v>20</v>
      </c>
      <c r="E9" s="17" t="s">
        <v>21</v>
      </c>
      <c r="F9" s="17" t="s">
        <v>62</v>
      </c>
      <c r="G9" s="17" t="s">
        <v>63</v>
      </c>
      <c r="H9" s="17" t="s">
        <v>64</v>
      </c>
      <c r="I9" s="17" t="s">
        <v>22</v>
      </c>
      <c r="J9" s="17" t="s">
        <v>65</v>
      </c>
    </row>
    <row r="10" spans="2:10" x14ac:dyDescent="0.3">
      <c r="B10" s="25"/>
      <c r="D10" s="6" t="s">
        <v>24</v>
      </c>
      <c r="E10" s="18" t="str">
        <f>IFERROR(VLOOKUP(Table5[[#This Row],[HSN Code]],productdata[#All],2,0),"")</f>
        <v>Smart Watch</v>
      </c>
      <c r="F10" s="6" t="str">
        <f>IFERROR(VLOOKUP(Table5[[#This Row],[HSN Code]],vendorsdata[#All],3,0),"")</f>
        <v>Tech99</v>
      </c>
      <c r="G10" s="20">
        <v>46036</v>
      </c>
      <c r="H10" s="6">
        <v>10</v>
      </c>
      <c r="I10" s="6">
        <f>IFERROR(VLOOKUP(Table5[[#This Row],[HSN Code]],productdata[#All],3,0),"")</f>
        <v>980</v>
      </c>
      <c r="J10" s="6">
        <f>IFERROR(Table5[[#This Row],[Units]]*Table5[[#This Row],[Cost]],"")</f>
        <v>9800</v>
      </c>
    </row>
    <row r="11" spans="2:10" x14ac:dyDescent="0.3">
      <c r="B11" s="25"/>
      <c r="D11" s="6" t="s">
        <v>26</v>
      </c>
      <c r="E11" s="18" t="str">
        <f>IFERROR(VLOOKUP(Table5[[#This Row],[HSN Code]],productdata[#All],2,0),"")</f>
        <v>Laptop HP xyz i5</v>
      </c>
      <c r="F11" s="6" t="str">
        <f>IFERROR(VLOOKUP(Table5[[#This Row],[HSN Code]],vendorsdata[#All],3,0),"")</f>
        <v>Tech99</v>
      </c>
      <c r="G11" s="20"/>
      <c r="H11" s="6">
        <v>13</v>
      </c>
      <c r="I11" s="6">
        <f>IFERROR(VLOOKUP(Table5[[#This Row],[HSN Code]],productdata[#All],3,0),"")</f>
        <v>34500</v>
      </c>
      <c r="J11" s="6">
        <f>IFERROR(Table5[[#This Row],[Units]]*Table5[[#This Row],[Cost]],"")</f>
        <v>448500</v>
      </c>
    </row>
    <row r="12" spans="2:10" x14ac:dyDescent="0.3">
      <c r="B12" s="25"/>
      <c r="D12" s="6" t="s">
        <v>28</v>
      </c>
      <c r="E12" s="18" t="str">
        <f>IFERROR(VLOOKUP(Table5[[#This Row],[HSN Code]],productdata[#All],2,0),"")</f>
        <v>Wireless Printer</v>
      </c>
      <c r="F12" s="6" t="str">
        <f>IFERROR(VLOOKUP(Table5[[#This Row],[HSN Code]],vendorsdata[#All],3,0),"")</f>
        <v>Tech99</v>
      </c>
      <c r="G12" s="20"/>
      <c r="H12" s="6">
        <v>20</v>
      </c>
      <c r="I12" s="6">
        <f>IFERROR(VLOOKUP(Table5[[#This Row],[HSN Code]],productdata[#All],3,0),"")</f>
        <v>4600</v>
      </c>
      <c r="J12" s="6">
        <f>IFERROR(Table5[[#This Row],[Units]]*Table5[[#This Row],[Cost]],"")</f>
        <v>92000</v>
      </c>
    </row>
    <row r="13" spans="2:10" x14ac:dyDescent="0.3">
      <c r="B13" s="25"/>
      <c r="D13" s="6" t="s">
        <v>30</v>
      </c>
      <c r="E13" s="18" t="str">
        <f>IFERROR(VLOOKUP(Table5[[#This Row],[HSN Code]],productdata[#All],2,0),"")</f>
        <v>Desktop</v>
      </c>
      <c r="F13" s="6" t="str">
        <f>IFERROR(VLOOKUP(Table5[[#This Row],[HSN Code]],vendorsdata[#All],3,0),"")</f>
        <v>GG Traders</v>
      </c>
      <c r="G13" s="20"/>
      <c r="H13" s="6">
        <v>5</v>
      </c>
      <c r="I13" s="6">
        <f>IFERROR(VLOOKUP(Table5[[#This Row],[HSN Code]],productdata[#All],3,0),"")</f>
        <v>21000</v>
      </c>
      <c r="J13" s="6">
        <f>IFERROR(Table5[[#This Row],[Units]]*Table5[[#This Row],[Cost]],"")</f>
        <v>105000</v>
      </c>
    </row>
    <row r="14" spans="2:10" x14ac:dyDescent="0.3">
      <c r="B14" s="25"/>
      <c r="D14" s="6" t="s">
        <v>32</v>
      </c>
      <c r="E14" s="18" t="str">
        <f>IFERROR(VLOOKUP(Table5[[#This Row],[HSN Code]],productdata[#All],2,0),"")</f>
        <v>Mouse</v>
      </c>
      <c r="F14" s="6" t="str">
        <f>IFERROR(VLOOKUP(Table5[[#This Row],[HSN Code]],vendorsdata[#All],3,0),"")</f>
        <v>GG Traders</v>
      </c>
      <c r="G14" s="20"/>
      <c r="H14" s="6">
        <v>7</v>
      </c>
      <c r="I14" s="6">
        <f>IFERROR(VLOOKUP(Table5[[#This Row],[HSN Code]],productdata[#All],3,0),"")</f>
        <v>200</v>
      </c>
      <c r="J14" s="6">
        <f>IFERROR(Table5[[#This Row],[Units]]*Table5[[#This Row],[Cost]],"")</f>
        <v>1400</v>
      </c>
    </row>
    <row r="15" spans="2:10" x14ac:dyDescent="0.3">
      <c r="B15" s="25"/>
      <c r="D15" s="6" t="s">
        <v>34</v>
      </c>
      <c r="E15" s="18" t="str">
        <f>IFERROR(VLOOKUP(Table5[[#This Row],[HSN Code]],productdata[#All],2,0),"")</f>
        <v>Rgb Keyboard</v>
      </c>
      <c r="F15" s="6" t="str">
        <f>IFERROR(VLOOKUP(Table5[[#This Row],[HSN Code]],vendorsdata[#All],3,0),"")</f>
        <v>GG Traders</v>
      </c>
      <c r="G15" s="20"/>
      <c r="H15" s="6">
        <v>8</v>
      </c>
      <c r="I15" s="6">
        <f>IFERROR(VLOOKUP(Table5[[#This Row],[HSN Code]],productdata[#All],3,0),"")</f>
        <v>340</v>
      </c>
      <c r="J15" s="6">
        <f>IFERROR(Table5[[#This Row],[Units]]*Table5[[#This Row],[Cost]],"")</f>
        <v>2720</v>
      </c>
    </row>
    <row r="16" spans="2:10" x14ac:dyDescent="0.3">
      <c r="B16" s="25"/>
      <c r="D16" s="6" t="s">
        <v>36</v>
      </c>
      <c r="E16" s="18" t="str">
        <f>IFERROR(VLOOKUP(Table5[[#This Row],[HSN Code]],productdata[#All],2,0),"")</f>
        <v>Camera</v>
      </c>
      <c r="F16" s="6" t="str">
        <f>IFERROR(VLOOKUP(Table5[[#This Row],[HSN Code]],vendorsdata[#All],3,0),"")</f>
        <v>GG Traders</v>
      </c>
      <c r="G16" s="20"/>
      <c r="H16" s="6">
        <v>5</v>
      </c>
      <c r="I16" s="6">
        <f>IFERROR(VLOOKUP(Table5[[#This Row],[HSN Code]],productdata[#All],3,0),"")</f>
        <v>52000</v>
      </c>
      <c r="J16" s="6">
        <f>IFERROR(Table5[[#This Row],[Units]]*Table5[[#This Row],[Cost]],"")</f>
        <v>260000</v>
      </c>
    </row>
    <row r="17" spans="2:10" x14ac:dyDescent="0.3">
      <c r="B17" s="25"/>
      <c r="D17" s="6" t="s">
        <v>38</v>
      </c>
      <c r="E17" s="18" t="str">
        <f>IFERROR(VLOOKUP(Table5[[#This Row],[HSN Code]],productdata[#All],2,0),"")</f>
        <v>Headphones</v>
      </c>
      <c r="F17" s="6" t="str">
        <f>IFERROR(VLOOKUP(Table5[[#This Row],[HSN Code]],vendorsdata[#All],3,0),"")</f>
        <v>Compac</v>
      </c>
      <c r="G17" s="20"/>
      <c r="H17" s="6">
        <v>3</v>
      </c>
      <c r="I17" s="6">
        <f>IFERROR(VLOOKUP(Table5[[#This Row],[HSN Code]],productdata[#All],3,0),"")</f>
        <v>799</v>
      </c>
      <c r="J17" s="6">
        <f>IFERROR(Table5[[#This Row],[Units]]*Table5[[#This Row],[Cost]],"")</f>
        <v>2397</v>
      </c>
    </row>
    <row r="18" spans="2:10" x14ac:dyDescent="0.3">
      <c r="B18" s="25"/>
      <c r="D18" s="6" t="s">
        <v>40</v>
      </c>
      <c r="E18" s="18" t="str">
        <f>IFERROR(VLOOKUP(Table5[[#This Row],[HSN Code]],productdata[#All],2,0),"")</f>
        <v>Speakers</v>
      </c>
      <c r="F18" s="6" t="str">
        <f>IFERROR(VLOOKUP(Table5[[#This Row],[HSN Code]],vendorsdata[#All],3,0),"")</f>
        <v>Compac</v>
      </c>
      <c r="G18" s="20"/>
      <c r="H18" s="6">
        <v>21</v>
      </c>
      <c r="I18" s="6">
        <f>IFERROR(VLOOKUP(Table5[[#This Row],[HSN Code]],productdata[#All],3,0),"")</f>
        <v>670</v>
      </c>
      <c r="J18" s="6">
        <f>IFERROR(Table5[[#This Row],[Units]]*Table5[[#This Row],[Cost]],"")</f>
        <v>14070</v>
      </c>
    </row>
    <row r="19" spans="2:10" x14ac:dyDescent="0.3">
      <c r="B19" s="25"/>
      <c r="D19" s="6" t="s">
        <v>42</v>
      </c>
      <c r="E19" s="18" t="str">
        <f>IFERROR(VLOOKUP(Table5[[#This Row],[HSN Code]],productdata[#All],2,0),"")</f>
        <v>Tablets</v>
      </c>
      <c r="F19" s="6" t="str">
        <f>IFERROR(VLOOKUP(Table5[[#This Row],[HSN Code]],vendorsdata[#All],3,0),"")</f>
        <v>Compac</v>
      </c>
      <c r="G19" s="20"/>
      <c r="H19" s="6">
        <v>60</v>
      </c>
      <c r="I19" s="6">
        <f>IFERROR(VLOOKUP(Table5[[#This Row],[HSN Code]],productdata[#All],3,0),"")</f>
        <v>23500</v>
      </c>
      <c r="J19" s="6">
        <f>IFERROR(Table5[[#This Row],[Units]]*Table5[[#This Row],[Cost]],"")</f>
        <v>1410000</v>
      </c>
    </row>
    <row r="20" spans="2:10" x14ac:dyDescent="0.3">
      <c r="B20" s="25"/>
      <c r="D20" s="6" t="s">
        <v>24</v>
      </c>
      <c r="E20" s="18" t="str">
        <f>IFERROR(VLOOKUP(Table5[[#This Row],[HSN Code]],productdata[#All],2,0),"")</f>
        <v>Smart Watch</v>
      </c>
      <c r="F20" s="6" t="str">
        <f>IFERROR(VLOOKUP(Table5[[#This Row],[HSN Code]],vendorsdata[#All],3,0),"")</f>
        <v>Tech99</v>
      </c>
      <c r="G20" s="20"/>
      <c r="H20" s="6">
        <v>20</v>
      </c>
      <c r="I20" s="6">
        <f>IFERROR(VLOOKUP(Table5[[#This Row],[HSN Code]],productdata[#All],3,0),"")</f>
        <v>980</v>
      </c>
      <c r="J20" s="6">
        <f>IFERROR(Table5[[#This Row],[Units]]*Table5[[#This Row],[Cost]],"")</f>
        <v>19600</v>
      </c>
    </row>
    <row r="21" spans="2:10" x14ac:dyDescent="0.3">
      <c r="B21" s="25"/>
      <c r="D21" s="6" t="s">
        <v>32</v>
      </c>
      <c r="E21" s="18" t="str">
        <f>IFERROR(VLOOKUP(Table5[[#This Row],[HSN Code]],productdata[#All],2,0),"")</f>
        <v>Mouse</v>
      </c>
      <c r="F21" s="6" t="str">
        <f>IFERROR(VLOOKUP(Table5[[#This Row],[HSN Code]],vendorsdata[#All],3,0),"")</f>
        <v>GG Traders</v>
      </c>
      <c r="G21" s="20"/>
      <c r="H21" s="6">
        <v>50</v>
      </c>
      <c r="I21" s="6">
        <f>IFERROR(VLOOKUP(Table5[[#This Row],[HSN Code]],productdata[#All],3,0),"")</f>
        <v>200</v>
      </c>
      <c r="J21" s="6">
        <f>IFERROR(Table5[[#This Row],[Units]]*Table5[[#This Row],[Cost]],"")</f>
        <v>10000</v>
      </c>
    </row>
    <row r="22" spans="2:10" x14ac:dyDescent="0.3">
      <c r="B22" s="25"/>
      <c r="D22" s="6" t="s">
        <v>36</v>
      </c>
      <c r="E22" s="18" t="str">
        <f>IFERROR(VLOOKUP(Table5[[#This Row],[HSN Code]],productdata[#All],2,0),"")</f>
        <v>Camera</v>
      </c>
      <c r="F22" s="6" t="str">
        <f>IFERROR(VLOOKUP(Table5[[#This Row],[HSN Code]],vendorsdata[#All],3,0),"")</f>
        <v>GG Traders</v>
      </c>
      <c r="G22" s="20">
        <v>46328</v>
      </c>
      <c r="H22" s="6">
        <v>10</v>
      </c>
      <c r="I22" s="6">
        <f>IFERROR(VLOOKUP(Table5[[#This Row],[HSN Code]],productdata[#All],3,0),"")</f>
        <v>52000</v>
      </c>
      <c r="J22" s="6">
        <f>IFERROR(Table5[[#This Row],[Units]]*Table5[[#This Row],[Cost]],"")</f>
        <v>520000</v>
      </c>
    </row>
    <row r="23" spans="2:10" x14ac:dyDescent="0.3">
      <c r="B23" s="25"/>
      <c r="D23" s="6"/>
      <c r="E23" s="18" t="str">
        <f>IFERROR(VLOOKUP(Table5[[#This Row],[HSN Code]],productdata[#All],2,0),"")</f>
        <v/>
      </c>
      <c r="F23" s="6" t="str">
        <f>IFERROR(VLOOKUP(Table5[[#This Row],[HSN Code]],vendorsdata[#All],3,0),"")</f>
        <v/>
      </c>
      <c r="G23" s="20"/>
      <c r="H23" s="6"/>
      <c r="I23" s="6" t="str">
        <f>IFERROR(VLOOKUP(Table5[[#This Row],[HSN Code]],productdata[#All],3,0),"")</f>
        <v/>
      </c>
      <c r="J23" s="6" t="str">
        <f>IFERROR(Table5[[#This Row],[Units]]*Table5[[#This Row],[Cost]],"")</f>
        <v/>
      </c>
    </row>
    <row r="24" spans="2:10" x14ac:dyDescent="0.3">
      <c r="B24" s="25"/>
      <c r="E24" s="19"/>
    </row>
    <row r="25" spans="2:10" x14ac:dyDescent="0.3">
      <c r="B25" s="25"/>
      <c r="E25" s="19"/>
    </row>
    <row r="26" spans="2:10" x14ac:dyDescent="0.3">
      <c r="B26" s="25"/>
    </row>
    <row r="27" spans="2:10" x14ac:dyDescent="0.3">
      <c r="B27" s="25"/>
    </row>
    <row r="28" spans="2:10" x14ac:dyDescent="0.3">
      <c r="B28" s="25"/>
    </row>
    <row r="29" spans="2:10" x14ac:dyDescent="0.3">
      <c r="B29" s="25"/>
    </row>
    <row r="30" spans="2:10" x14ac:dyDescent="0.3">
      <c r="B30" s="25"/>
    </row>
    <row r="31" spans="2:10" x14ac:dyDescent="0.3">
      <c r="B31" s="25"/>
    </row>
    <row r="32" spans="2:10" x14ac:dyDescent="0.3">
      <c r="B32" s="26"/>
    </row>
  </sheetData>
  <dataValidations count="1">
    <dataValidation type="list" allowBlank="1" showInputMessage="1" showErrorMessage="1" sqref="D10:D23" xr:uid="{13851529-9B6C-4360-93C5-12FF00ED9618}">
      <formula1>hsncode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6508-04DC-416F-A9C6-282416786849}">
  <dimension ref="B1:L31"/>
  <sheetViews>
    <sheetView tabSelected="1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4" x14ac:dyDescent="0.3"/>
  <cols>
    <col min="1" max="1" width="4.44140625" style="1" customWidth="1"/>
    <col min="2" max="2" width="28.44140625" style="2" customWidth="1"/>
    <col min="3" max="3" width="3.6640625" style="1" customWidth="1"/>
    <col min="4" max="4" width="15.44140625" style="1" customWidth="1"/>
    <col min="5" max="5" width="19.6640625" style="1" customWidth="1"/>
    <col min="6" max="6" width="15.6640625" style="1" customWidth="1"/>
    <col min="7" max="7" width="20.77734375" style="1" customWidth="1"/>
    <col min="8" max="8" width="15.44140625" style="1" customWidth="1"/>
    <col min="9" max="9" width="22.44140625" style="1" customWidth="1"/>
    <col min="10" max="10" width="16.6640625" style="1" customWidth="1"/>
    <col min="11" max="11" width="15.6640625" style="1" customWidth="1"/>
    <col min="12" max="12" width="14.88671875" style="1" customWidth="1"/>
    <col min="13" max="16384" width="8.88671875" style="1"/>
  </cols>
  <sheetData>
    <row r="1" spans="2:12" x14ac:dyDescent="0.3">
      <c r="B1" s="1"/>
    </row>
    <row r="2" spans="2:12" x14ac:dyDescent="0.3">
      <c r="B2" s="24"/>
    </row>
    <row r="3" spans="2:12" x14ac:dyDescent="0.3">
      <c r="B3" s="25"/>
    </row>
    <row r="4" spans="2:12" x14ac:dyDescent="0.3">
      <c r="B4" s="25"/>
    </row>
    <row r="5" spans="2:12" x14ac:dyDescent="0.3">
      <c r="B5" s="25"/>
    </row>
    <row r="6" spans="2:12" x14ac:dyDescent="0.3">
      <c r="B6" s="25"/>
    </row>
    <row r="7" spans="2:12" x14ac:dyDescent="0.3">
      <c r="B7" s="25"/>
    </row>
    <row r="8" spans="2:12" x14ac:dyDescent="0.3">
      <c r="B8" s="25"/>
    </row>
    <row r="9" spans="2:12" ht="21" x14ac:dyDescent="0.4">
      <c r="B9" s="25"/>
      <c r="D9" s="21" t="s">
        <v>0</v>
      </c>
      <c r="E9" s="22" t="s">
        <v>66</v>
      </c>
      <c r="F9" s="22" t="s">
        <v>20</v>
      </c>
      <c r="G9" s="22" t="s">
        <v>21</v>
      </c>
      <c r="H9" s="22" t="s">
        <v>63</v>
      </c>
      <c r="I9" s="22" t="s">
        <v>67</v>
      </c>
      <c r="J9" s="22" t="s">
        <v>64</v>
      </c>
      <c r="K9" s="22" t="s">
        <v>68</v>
      </c>
      <c r="L9" s="22" t="s">
        <v>65</v>
      </c>
    </row>
    <row r="10" spans="2:12" x14ac:dyDescent="0.3">
      <c r="B10" s="25"/>
      <c r="D10" s="19">
        <v>100</v>
      </c>
      <c r="E10" s="19" t="str">
        <f>IFERROR(VLOOKUP(Table7[[#This Row],[Cust_ID]],Customerdata[#All],2,0),"")</f>
        <v>Rahul</v>
      </c>
      <c r="F10" s="19" t="s">
        <v>24</v>
      </c>
      <c r="G10" s="19" t="str">
        <f>IFERROR(VLOOKUP(Table7[[#This Row],[HSN Code]],productdata[#All],2,0),"")</f>
        <v>Smart Watch</v>
      </c>
      <c r="H10" s="19"/>
      <c r="I10" s="19">
        <f>IFERROR(VLOOKUP(Table7[[#This Row],[HSN Code]],Table8[#All],6,0),"")</f>
        <v>21</v>
      </c>
      <c r="J10" s="19">
        <v>9</v>
      </c>
      <c r="K10" s="19">
        <f>IFERROR(VLOOKUP(Table7[[#This Row],[HSN Code]],productdata[#All],4,0),"")</f>
        <v>1176</v>
      </c>
      <c r="L10" s="19">
        <f>IFERROR(Table7[[#This Row],[Price]]*Table7[[#This Row],[Units]],"")</f>
        <v>10584</v>
      </c>
    </row>
    <row r="11" spans="2:12" x14ac:dyDescent="0.3">
      <c r="B11" s="25"/>
      <c r="D11" s="19">
        <v>101</v>
      </c>
      <c r="E11" s="19" t="str">
        <f>IFERROR(VLOOKUP(Table7[[#This Row],[Cust_ID]],Customerdata[#All],2,0),"")</f>
        <v>Vikas</v>
      </c>
      <c r="F11" s="19" t="s">
        <v>26</v>
      </c>
      <c r="G11" s="19" t="str">
        <f>IFERROR(VLOOKUP(Table7[[#This Row],[HSN Code]],productdata[#All],2,0),"")</f>
        <v>Laptop HP xyz i5</v>
      </c>
      <c r="H11" s="19"/>
      <c r="I11" s="19">
        <f>IFERROR(VLOOKUP(Table7[[#This Row],[HSN Code]],Table8[#All],6,0),"")</f>
        <v>3</v>
      </c>
      <c r="J11" s="19">
        <v>10</v>
      </c>
      <c r="K11" s="19">
        <f>IFERROR(VLOOKUP(Table7[[#This Row],[HSN Code]],productdata[#All],4,0),"")</f>
        <v>41400</v>
      </c>
      <c r="L11" s="19">
        <f>IFERROR(Table7[[#This Row],[Price]]*Table7[[#This Row],[Units]],"")</f>
        <v>414000</v>
      </c>
    </row>
    <row r="12" spans="2:12" x14ac:dyDescent="0.3">
      <c r="B12" s="25"/>
      <c r="D12" s="19">
        <v>103</v>
      </c>
      <c r="E12" s="19" t="str">
        <f>IFERROR(VLOOKUP(Table7[[#This Row],[Cust_ID]],Customerdata[#All],2,0),"")</f>
        <v>Vansh</v>
      </c>
      <c r="F12" s="19" t="s">
        <v>28</v>
      </c>
      <c r="G12" s="19" t="str">
        <f>IFERROR(VLOOKUP(Table7[[#This Row],[HSN Code]],productdata[#All],2,0),"")</f>
        <v>Wireless Printer</v>
      </c>
      <c r="H12" s="19"/>
      <c r="I12" s="19">
        <f>IFERROR(VLOOKUP(Table7[[#This Row],[HSN Code]],Table8[#All],6,0),"")</f>
        <v>1</v>
      </c>
      <c r="J12" s="19">
        <v>19</v>
      </c>
      <c r="K12" s="19">
        <f>IFERROR(VLOOKUP(Table7[[#This Row],[HSN Code]],productdata[#All],4,0),"")</f>
        <v>5520</v>
      </c>
      <c r="L12" s="19">
        <f>IFERROR(Table7[[#This Row],[Price]]*Table7[[#This Row],[Units]],"")</f>
        <v>104880</v>
      </c>
    </row>
    <row r="13" spans="2:12" x14ac:dyDescent="0.3">
      <c r="B13" s="25"/>
      <c r="D13" s="19">
        <v>104</v>
      </c>
      <c r="E13" s="19" t="str">
        <f>IFERROR(VLOOKUP(Table7[[#This Row],[Cust_ID]],Customerdata[#All],2,0),"")</f>
        <v>Sahil</v>
      </c>
      <c r="F13" s="19" t="s">
        <v>30</v>
      </c>
      <c r="G13" s="19" t="str">
        <f>IFERROR(VLOOKUP(Table7[[#This Row],[HSN Code]],productdata[#All],2,0),"")</f>
        <v>Desktop</v>
      </c>
      <c r="H13" s="19"/>
      <c r="I13" s="19">
        <f>IFERROR(VLOOKUP(Table7[[#This Row],[HSN Code]],Table8[#All],6,0),"")</f>
        <v>-1</v>
      </c>
      <c r="J13" s="19">
        <v>6</v>
      </c>
      <c r="K13" s="19">
        <f>IFERROR(VLOOKUP(Table7[[#This Row],[HSN Code]],productdata[#All],4,0),"")</f>
        <v>25200</v>
      </c>
      <c r="L13" s="19">
        <f>IFERROR(Table7[[#This Row],[Price]]*Table7[[#This Row],[Units]],"")</f>
        <v>151200</v>
      </c>
    </row>
    <row r="14" spans="2:12" x14ac:dyDescent="0.3">
      <c r="B14" s="25"/>
      <c r="D14" s="19">
        <v>105</v>
      </c>
      <c r="E14" s="19" t="str">
        <f>IFERROR(VLOOKUP(Table7[[#This Row],[Cust_ID]],Customerdata[#All],2,0),"")</f>
        <v>Lovelesh</v>
      </c>
      <c r="F14" s="19" t="s">
        <v>32</v>
      </c>
      <c r="G14" s="19" t="str">
        <f>IFERROR(VLOOKUP(Table7[[#This Row],[HSN Code]],productdata[#All],2,0),"")</f>
        <v>Mouse</v>
      </c>
      <c r="H14" s="19"/>
      <c r="I14" s="19">
        <f>IFERROR(VLOOKUP(Table7[[#This Row],[HSN Code]],Table8[#All],6,0),"")</f>
        <v>40</v>
      </c>
      <c r="J14" s="19">
        <v>7</v>
      </c>
      <c r="K14" s="19">
        <f>IFERROR(VLOOKUP(Table7[[#This Row],[HSN Code]],productdata[#All],4,0),"")</f>
        <v>240</v>
      </c>
      <c r="L14" s="19">
        <f>IFERROR(Table7[[#This Row],[Price]]*Table7[[#This Row],[Units]],"")</f>
        <v>1680</v>
      </c>
    </row>
    <row r="15" spans="2:12" x14ac:dyDescent="0.3">
      <c r="B15" s="25"/>
      <c r="D15" s="19">
        <v>106</v>
      </c>
      <c r="E15" s="19" t="str">
        <f>IFERROR(VLOOKUP(Table7[[#This Row],[Cust_ID]],Customerdata[#All],2,0),"")</f>
        <v>Sachin</v>
      </c>
      <c r="F15" s="19" t="s">
        <v>34</v>
      </c>
      <c r="G15" s="19" t="str">
        <f>IFERROR(VLOOKUP(Table7[[#This Row],[HSN Code]],productdata[#All],2,0),"")</f>
        <v>Rgb Keyboard</v>
      </c>
      <c r="H15" s="19"/>
      <c r="I15" s="19">
        <f>IFERROR(VLOOKUP(Table7[[#This Row],[HSN Code]],Table8[#All],6,0),"")</f>
        <v>6</v>
      </c>
      <c r="J15" s="19">
        <v>2</v>
      </c>
      <c r="K15" s="19">
        <f>IFERROR(VLOOKUP(Table7[[#This Row],[HSN Code]],productdata[#All],4,0),"")</f>
        <v>408</v>
      </c>
      <c r="L15" s="19">
        <f>IFERROR(Table7[[#This Row],[Price]]*Table7[[#This Row],[Units]],"")</f>
        <v>816</v>
      </c>
    </row>
    <row r="16" spans="2:12" x14ac:dyDescent="0.3">
      <c r="B16" s="25"/>
      <c r="D16" s="19">
        <v>100</v>
      </c>
      <c r="E16" s="19" t="str">
        <f>IFERROR(VLOOKUP(Table7[[#This Row],[Cust_ID]],Customerdata[#All],2,0),"")</f>
        <v>Rahul</v>
      </c>
      <c r="F16" s="19" t="s">
        <v>36</v>
      </c>
      <c r="G16" s="19" t="str">
        <f>IFERROR(VLOOKUP(Table7[[#This Row],[HSN Code]],productdata[#All],2,0),"")</f>
        <v>Camera</v>
      </c>
      <c r="H16" s="19"/>
      <c r="I16" s="19">
        <f>IFERROR(VLOOKUP(Table7[[#This Row],[HSN Code]],Table8[#All],6,0),"")</f>
        <v>2</v>
      </c>
      <c r="J16" s="19">
        <v>3</v>
      </c>
      <c r="K16" s="19">
        <f>IFERROR(VLOOKUP(Table7[[#This Row],[HSN Code]],productdata[#All],4,0),"")</f>
        <v>62400</v>
      </c>
      <c r="L16" s="19">
        <f>IFERROR(Table7[[#This Row],[Price]]*Table7[[#This Row],[Units]],"")</f>
        <v>187200</v>
      </c>
    </row>
    <row r="17" spans="2:12" x14ac:dyDescent="0.3">
      <c r="B17" s="25"/>
      <c r="D17" s="19">
        <v>103</v>
      </c>
      <c r="E17" s="19" t="str">
        <f>IFERROR(VLOOKUP(Table7[[#This Row],[Cust_ID]],Customerdata[#All],2,0),"")</f>
        <v>Vansh</v>
      </c>
      <c r="F17" s="19" t="s">
        <v>36</v>
      </c>
      <c r="G17" s="19" t="str">
        <f>IFERROR(VLOOKUP(Table7[[#This Row],[HSN Code]],productdata[#All],2,0),"")</f>
        <v>Camera</v>
      </c>
      <c r="H17" s="19"/>
      <c r="I17" s="19">
        <f>IFERROR(VLOOKUP(Table7[[#This Row],[HSN Code]],Table8[#All],6,0),"")</f>
        <v>2</v>
      </c>
      <c r="J17" s="19">
        <v>10</v>
      </c>
      <c r="K17" s="19">
        <f>IFERROR(VLOOKUP(Table7[[#This Row],[HSN Code]],productdata[#All],4,0),"")</f>
        <v>62400</v>
      </c>
      <c r="L17" s="19">
        <f>IFERROR(Table7[[#This Row],[Price]]*Table7[[#This Row],[Units]],"")</f>
        <v>624000</v>
      </c>
    </row>
    <row r="18" spans="2:12" x14ac:dyDescent="0.3">
      <c r="B18" s="25"/>
      <c r="D18" s="19">
        <v>101</v>
      </c>
      <c r="E18" s="19" t="str">
        <f>IFERROR(VLOOKUP(Table7[[#This Row],[Cust_ID]],Customerdata[#All],2,0),"")</f>
        <v>Vikas</v>
      </c>
      <c r="F18" s="19" t="s">
        <v>32</v>
      </c>
      <c r="G18" s="19" t="str">
        <f>IFERROR(VLOOKUP(Table7[[#This Row],[HSN Code]],productdata[#All],2,0),"")</f>
        <v>Mouse</v>
      </c>
      <c r="H18" s="19"/>
      <c r="I18" s="19">
        <f>IFERROR(VLOOKUP(Table7[[#This Row],[HSN Code]],Table8[#All],6,0),"")</f>
        <v>40</v>
      </c>
      <c r="J18" s="19">
        <v>10</v>
      </c>
      <c r="K18" s="19">
        <f>IFERROR(VLOOKUP(Table7[[#This Row],[HSN Code]],productdata[#All],4,0),"")</f>
        <v>240</v>
      </c>
      <c r="L18" s="19">
        <f>IFERROR(Table7[[#This Row],[Price]]*Table7[[#This Row],[Units]],"")</f>
        <v>2400</v>
      </c>
    </row>
    <row r="19" spans="2:12" x14ac:dyDescent="0.3">
      <c r="B19" s="25"/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25"/>
      <c r="D20" s="19"/>
      <c r="E20" s="19" t="str">
        <f>IFERROR(VLOOKUP(Table7[[#This Row],[Cust_ID]],Customerdata[#All],2,0),"")</f>
        <v/>
      </c>
      <c r="F20" s="19"/>
      <c r="G20" s="19" t="str">
        <f>IFERROR(VLOOKUP(Table7[[#This Row],[HSN Code]],productdata[#All],2,0),"")</f>
        <v/>
      </c>
      <c r="H20" s="19"/>
      <c r="I20" s="19" t="str">
        <f>IFERROR(VLOOKUP(Table7[[#This Row],[HSN Code]],Table8[#All],6,0),"")</f>
        <v/>
      </c>
      <c r="J20" s="19"/>
      <c r="K20" s="19" t="str">
        <f>IFERROR(VLOOKUP(Table7[[#This Row],[HSN Code]],productdata[#All],4,0),"")</f>
        <v/>
      </c>
      <c r="L20" s="19" t="str">
        <f>IFERROR(Table7[[#This Row],[Price]]*Table7[[#This Row],[Units]],"")</f>
        <v/>
      </c>
    </row>
    <row r="21" spans="2:12" x14ac:dyDescent="0.3">
      <c r="B21" s="25"/>
      <c r="D21" s="19"/>
      <c r="E21" s="19" t="str">
        <f>IFERROR(VLOOKUP(Table7[[#This Row],[Cust_ID]],Customerdata[#All],2,0),"")</f>
        <v/>
      </c>
      <c r="F21" s="19"/>
      <c r="G21" s="19" t="str">
        <f>IFERROR(VLOOKUP(Table7[[#This Row],[HSN Code]],productdata[#All],2,0),"")</f>
        <v/>
      </c>
      <c r="H21" s="19"/>
      <c r="I21" s="19" t="str">
        <f>IFERROR(VLOOKUP(Table7[[#This Row],[HSN Code]],Table8[#All],6,0),"")</f>
        <v/>
      </c>
      <c r="J21" s="19"/>
      <c r="K21" s="19" t="str">
        <f>IFERROR(VLOOKUP(Table7[[#This Row],[HSN Code]],productdata[#All],4,0),"")</f>
        <v/>
      </c>
      <c r="L21" s="19" t="str">
        <f>IFERROR(Table7[[#This Row],[Price]]*Table7[[#This Row],[Units]],"")</f>
        <v/>
      </c>
    </row>
    <row r="22" spans="2:12" x14ac:dyDescent="0.3">
      <c r="B22" s="25"/>
      <c r="D22" s="19"/>
      <c r="E22" s="19" t="str">
        <f>IFERROR(VLOOKUP(Table7[[#This Row],[Cust_ID]],Customerdata[#All],2,0),"")</f>
        <v/>
      </c>
      <c r="F22" s="19"/>
      <c r="G22" s="19" t="str">
        <f>IFERROR(VLOOKUP(Table7[[#This Row],[HSN Code]],productdata[#All],2,0),"")</f>
        <v/>
      </c>
      <c r="H22" s="19"/>
      <c r="I22" s="19" t="str">
        <f>IFERROR(VLOOKUP(Table7[[#This Row],[HSN Code]],Table8[#All],6,0),"")</f>
        <v/>
      </c>
      <c r="J22" s="19"/>
      <c r="K22" s="19" t="str">
        <f>IFERROR(VLOOKUP(Table7[[#This Row],[HSN Code]],productdata[#All],4,0),"")</f>
        <v/>
      </c>
      <c r="L22" s="19" t="str">
        <f>IFERROR(Table7[[#This Row],[Price]]*Table7[[#This Row],[Units]],"")</f>
        <v/>
      </c>
    </row>
    <row r="23" spans="2:12" x14ac:dyDescent="0.3">
      <c r="B23" s="25"/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25"/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25"/>
    </row>
    <row r="26" spans="2:12" x14ac:dyDescent="0.3">
      <c r="B26" s="25"/>
    </row>
    <row r="27" spans="2:12" x14ac:dyDescent="0.3">
      <c r="B27" s="25"/>
    </row>
    <row r="28" spans="2:12" x14ac:dyDescent="0.3">
      <c r="B28" s="25"/>
    </row>
    <row r="29" spans="2:12" x14ac:dyDescent="0.3">
      <c r="B29" s="25"/>
    </row>
    <row r="30" spans="2:12" x14ac:dyDescent="0.3">
      <c r="B30" s="25"/>
    </row>
    <row r="31" spans="2:12" x14ac:dyDescent="0.3">
      <c r="B31" s="26"/>
    </row>
  </sheetData>
  <dataValidations count="2">
    <dataValidation type="list" allowBlank="1" showInputMessage="1" showErrorMessage="1" sqref="D10:D22" xr:uid="{6943F87C-347C-4066-8F2C-B1E92D66156E}">
      <formula1>Customer</formula1>
    </dataValidation>
    <dataValidation type="list" allowBlank="1" showInputMessage="1" showErrorMessage="1" sqref="F10:F22" xr:uid="{234B0A17-91EA-4DC5-8418-6D470032C02E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184B-F23D-489D-822C-F919206460AA}">
  <dimension ref="B1:M27"/>
  <sheetViews>
    <sheetView zoomScale="90" zoomScaleNormal="90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K10" sqref="K10"/>
    </sheetView>
  </sheetViews>
  <sheetFormatPr defaultRowHeight="14.4" x14ac:dyDescent="0.3"/>
  <cols>
    <col min="1" max="1" width="4.44140625" style="1" customWidth="1"/>
    <col min="2" max="2" width="28.44140625" style="2" customWidth="1"/>
    <col min="3" max="3" width="3.6640625" style="1" customWidth="1"/>
    <col min="4" max="4" width="18.77734375" style="1" customWidth="1"/>
    <col min="5" max="5" width="27.109375" style="1" customWidth="1"/>
    <col min="6" max="6" width="11" style="1" customWidth="1"/>
    <col min="7" max="7" width="15.77734375" style="1" customWidth="1"/>
    <col min="8" max="8" width="14.6640625" style="1" customWidth="1"/>
    <col min="9" max="9" width="12.88671875" style="1" customWidth="1"/>
    <col min="10" max="10" width="19.88671875" style="1" customWidth="1"/>
    <col min="11" max="11" width="24.77734375" style="1" customWidth="1"/>
    <col min="12" max="12" width="49.21875" style="1" bestFit="1" customWidth="1"/>
    <col min="13" max="16384" width="8.88671875" style="1"/>
  </cols>
  <sheetData>
    <row r="1" spans="2:13" x14ac:dyDescent="0.3">
      <c r="B1" s="1"/>
    </row>
    <row r="9" spans="2:13" ht="21" x14ac:dyDescent="0.4">
      <c r="D9" s="3" t="s">
        <v>20</v>
      </c>
      <c r="E9" s="3" t="s">
        <v>21</v>
      </c>
      <c r="F9" s="3" t="s">
        <v>22</v>
      </c>
      <c r="G9" s="3" t="s">
        <v>69</v>
      </c>
      <c r="H9" s="3" t="s">
        <v>70</v>
      </c>
      <c r="I9" s="3" t="s">
        <v>71</v>
      </c>
      <c r="J9" s="3" t="s">
        <v>72</v>
      </c>
      <c r="K9" s="23" t="s">
        <v>89</v>
      </c>
      <c r="L9" s="23" t="s">
        <v>90</v>
      </c>
      <c r="M9" s="23"/>
    </row>
    <row r="10" spans="2:13" x14ac:dyDescent="0.3">
      <c r="C10" s="19"/>
      <c r="D10" s="19" t="str">
        <f>productdata[[#This Row],[HSN Code]]</f>
        <v>N1001</v>
      </c>
      <c r="E10" s="19" t="str">
        <f>productdata[[#This Row],[Product Name]]</f>
        <v>Smart Watch</v>
      </c>
      <c r="F10" s="19">
        <f>productdata[[#This Row],[Cost]]</f>
        <v>980</v>
      </c>
      <c r="G10" s="19">
        <f>SUMIF(Table5[Product Name],Table8[Product Name],Table5[Units])</f>
        <v>30</v>
      </c>
      <c r="H10" s="19">
        <f>SUMIF(Table7[Product Name],Table8[Product Name],Table7[Units])</f>
        <v>9</v>
      </c>
      <c r="I10" s="19">
        <f>Table8[[#This Row],[P Units]]-Table8[[#This Row],[S Units]]</f>
        <v>21</v>
      </c>
      <c r="J10" s="19">
        <f>Table8[[#This Row],[Cost]]*Table8[[#This Row],[Stock]]</f>
        <v>20580</v>
      </c>
      <c r="K10" s="19" t="str">
        <f>IF(Table8[[#This Row],[Stock]]&gt;0,"In Stock","Out Of Stock")</f>
        <v>In Stock</v>
      </c>
      <c r="L10" s="36" t="str">
        <f>IFERROR(IF(Table8[[#This Row],[Stock]]&lt;5," 📞 "&amp; Table8[[#This Row],[Product Name]] &amp;" Need To  Re-order !! Ph " &amp;IFERROR(VLOOKUP(Table8[[#This Row],[HSN Code]],vendorsdata[#All],4,0),""),""),"")</f>
        <v/>
      </c>
    </row>
    <row r="11" spans="2:13" x14ac:dyDescent="0.3">
      <c r="C11" s="19"/>
      <c r="D11" s="19" t="str">
        <f>productdata[[#This Row],[HSN Code]]</f>
        <v>N1002</v>
      </c>
      <c r="E11" s="19" t="str">
        <f>productdata[[#This Row],[Product Name]]</f>
        <v>Laptop HP xyz i5</v>
      </c>
      <c r="F11" s="19">
        <f>productdata[[#This Row],[Cost]]</f>
        <v>34500</v>
      </c>
      <c r="G11" s="19">
        <f>SUMIF(Table5[Product Name],Table8[Product Name],Table5[Units])</f>
        <v>13</v>
      </c>
      <c r="H11" s="19">
        <f>SUMIF(Table7[Product Name],Table8[Product Name],Table7[Units])</f>
        <v>10</v>
      </c>
      <c r="I11" s="19">
        <f>Table8[[#This Row],[P Units]]-Table8[[#This Row],[S Units]]</f>
        <v>3</v>
      </c>
      <c r="J11" s="19">
        <f>Table8[[#This Row],[Cost]]*Table8[[#This Row],[Stock]]</f>
        <v>103500</v>
      </c>
      <c r="K11" s="19" t="str">
        <f>IF(Table8[[#This Row],[Stock]]&gt;0,"In Stock","Out Of Stock")</f>
        <v>In Stock</v>
      </c>
      <c r="L11" s="36" t="str">
        <f>IFERROR(IF(Table8[[#This Row],[Stock]]&lt;5," 📞 "&amp; Table8[[#This Row],[Product Name]] &amp;" Need To  Re-order !! Ph " &amp;IFERROR(VLOOKUP(Table8[[#This Row],[HSN Code]],vendorsdata[#All],4,0),""),""),"")</f>
        <v xml:space="preserve"> 📞 Laptop HP xyz i5 Need To  Re-order !! Ph 9812xxxxxx</v>
      </c>
    </row>
    <row r="12" spans="2:13" x14ac:dyDescent="0.3">
      <c r="C12" s="19"/>
      <c r="D12" s="19" t="str">
        <f>productdata[[#This Row],[HSN Code]]</f>
        <v>N1003</v>
      </c>
      <c r="E12" s="19" t="str">
        <f>productdata[[#This Row],[Product Name]]</f>
        <v>Wireless Printer</v>
      </c>
      <c r="F12" s="19">
        <f>productdata[[#This Row],[Cost]]</f>
        <v>4600</v>
      </c>
      <c r="G12" s="19">
        <f>SUMIF(Table5[Product Name],Table8[Product Name],Table5[Units])</f>
        <v>20</v>
      </c>
      <c r="H12" s="19">
        <f>SUMIF(Table7[Product Name],Table8[Product Name],Table7[Units])</f>
        <v>19</v>
      </c>
      <c r="I12" s="19">
        <f>Table8[[#This Row],[P Units]]-Table8[[#This Row],[S Units]]</f>
        <v>1</v>
      </c>
      <c r="J12" s="19">
        <f>Table8[[#This Row],[Cost]]*Table8[[#This Row],[Stock]]</f>
        <v>4600</v>
      </c>
      <c r="K12" s="19" t="str">
        <f>IF(Table8[[#This Row],[Stock]]&gt;0,"In Stock","Out Of Stock")</f>
        <v>In Stock</v>
      </c>
      <c r="L12" s="36" t="str">
        <f>IFERROR(IF(Table8[[#This Row],[Stock]]&lt;5," 📞 "&amp; Table8[[#This Row],[Product Name]] &amp;" Need To  Re-order !! Ph " &amp;IFERROR(VLOOKUP(Table8[[#This Row],[HSN Code]],vendorsdata[#All],4,0),""),""),"")</f>
        <v xml:space="preserve"> 📞 Wireless Printer Need To  Re-order !! Ph 9812xxxxxx</v>
      </c>
    </row>
    <row r="13" spans="2:13" x14ac:dyDescent="0.3">
      <c r="C13" s="19"/>
      <c r="D13" s="19" t="str">
        <f>productdata[[#This Row],[HSN Code]]</f>
        <v>N1004</v>
      </c>
      <c r="E13" s="19" t="str">
        <f>productdata[[#This Row],[Product Name]]</f>
        <v>Desktop</v>
      </c>
      <c r="F13" s="19">
        <f>productdata[[#This Row],[Cost]]</f>
        <v>21000</v>
      </c>
      <c r="G13" s="19">
        <f>SUMIF(Table5[Product Name],Table8[Product Name],Table5[Units])</f>
        <v>5</v>
      </c>
      <c r="H13" s="19">
        <f>SUMIF(Table7[Product Name],Table8[Product Name],Table7[Units])</f>
        <v>6</v>
      </c>
      <c r="I13" s="19">
        <f>Table8[[#This Row],[P Units]]-Table8[[#This Row],[S Units]]</f>
        <v>-1</v>
      </c>
      <c r="J13" s="19">
        <f>Table8[[#This Row],[Cost]]*Table8[[#This Row],[Stock]]</f>
        <v>-21000</v>
      </c>
      <c r="K13" s="19" t="str">
        <f>IF(Table8[[#This Row],[Stock]]&gt;0,"In Stock","Out Of Stock")</f>
        <v>Out Of Stock</v>
      </c>
      <c r="L13" s="36" t="str">
        <f>IFERROR(IF(Table8[[#This Row],[Stock]]&lt;5," 📞 "&amp; Table8[[#This Row],[Product Name]] &amp;" Need To  Re-order !! Ph " &amp;IFERROR(VLOOKUP(Table8[[#This Row],[HSN Code]],vendorsdata[#All],4,0),""),""),"")</f>
        <v xml:space="preserve"> 📞 Desktop Need To  Re-order !! Ph 9813xxxxxx</v>
      </c>
    </row>
    <row r="14" spans="2:13" x14ac:dyDescent="0.3">
      <c r="C14" s="19"/>
      <c r="D14" s="19" t="str">
        <f>productdata[[#This Row],[HSN Code]]</f>
        <v>N1005</v>
      </c>
      <c r="E14" s="19" t="str">
        <f>productdata[[#This Row],[Product Name]]</f>
        <v>Mouse</v>
      </c>
      <c r="F14" s="19">
        <f>productdata[[#This Row],[Cost]]</f>
        <v>200</v>
      </c>
      <c r="G14" s="19">
        <f>SUMIF(Table5[Product Name],Table8[Product Name],Table5[Units])</f>
        <v>57</v>
      </c>
      <c r="H14" s="19">
        <f>SUMIF(Table7[Product Name],Table8[Product Name],Table7[Units])</f>
        <v>17</v>
      </c>
      <c r="I14" s="19">
        <f>Table8[[#This Row],[P Units]]-Table8[[#This Row],[S Units]]</f>
        <v>40</v>
      </c>
      <c r="J14" s="19">
        <f>Table8[[#This Row],[Cost]]*Table8[[#This Row],[Stock]]</f>
        <v>8000</v>
      </c>
      <c r="K14" s="19" t="str">
        <f>IF(Table8[[#This Row],[Stock]]&gt;0,"In Stock","Out Of Stock")</f>
        <v>In Stock</v>
      </c>
      <c r="L14" s="36" t="str">
        <f>IFERROR(IF(Table8[[#This Row],[Stock]]&lt;5," 📞 "&amp; Table8[[#This Row],[Product Name]] &amp;" Need To  Re-order !! Ph " &amp;IFERROR(VLOOKUP(Table8[[#This Row],[HSN Code]],vendorsdata[#All],4,0),""),""),"")</f>
        <v/>
      </c>
    </row>
    <row r="15" spans="2:13" x14ac:dyDescent="0.3">
      <c r="C15" s="19"/>
      <c r="D15" s="19" t="str">
        <f>productdata[[#This Row],[HSN Code]]</f>
        <v>N1006</v>
      </c>
      <c r="E15" s="19" t="str">
        <f>productdata[[#This Row],[Product Name]]</f>
        <v>Rgb Keyboard</v>
      </c>
      <c r="F15" s="19">
        <f>productdata[[#This Row],[Cost]]</f>
        <v>340</v>
      </c>
      <c r="G15" s="19">
        <f>SUMIF(Table5[Product Name],Table8[Product Name],Table5[Units])</f>
        <v>8</v>
      </c>
      <c r="H15" s="19">
        <f>SUMIF(Table7[Product Name],Table8[Product Name],Table7[Units])</f>
        <v>2</v>
      </c>
      <c r="I15" s="19">
        <f>Table8[[#This Row],[P Units]]-Table8[[#This Row],[S Units]]</f>
        <v>6</v>
      </c>
      <c r="J15" s="19">
        <f>Table8[[#This Row],[Cost]]*Table8[[#This Row],[Stock]]</f>
        <v>2040</v>
      </c>
      <c r="K15" s="19" t="str">
        <f>IF(Table8[[#This Row],[Stock]]&gt;0,"In Stock","Out Of Stock")</f>
        <v>In Stock</v>
      </c>
      <c r="L15" s="36" t="str">
        <f>IFERROR(IF(Table8[[#This Row],[Stock]]&lt;5," 📞 "&amp; Table8[[#This Row],[Product Name]] &amp;" Need To  Re-order !! Ph " &amp;IFERROR(VLOOKUP(Table8[[#This Row],[HSN Code]],vendorsdata[#All],4,0),""),""),"")</f>
        <v/>
      </c>
    </row>
    <row r="16" spans="2:13" x14ac:dyDescent="0.3">
      <c r="C16" s="19"/>
      <c r="D16" s="19" t="str">
        <f>productdata[[#This Row],[HSN Code]]</f>
        <v>N1007</v>
      </c>
      <c r="E16" s="19" t="str">
        <f>productdata[[#This Row],[Product Name]]</f>
        <v>Camera</v>
      </c>
      <c r="F16" s="19">
        <f>productdata[[#This Row],[Cost]]</f>
        <v>52000</v>
      </c>
      <c r="G16" s="19">
        <f>SUMIF(Table5[Product Name],Table8[Product Name],Table5[Units])</f>
        <v>15</v>
      </c>
      <c r="H16" s="19">
        <f>SUMIF(Table7[Product Name],Table8[Product Name],Table7[Units])</f>
        <v>13</v>
      </c>
      <c r="I16" s="19">
        <f>Table8[[#This Row],[P Units]]-Table8[[#This Row],[S Units]]</f>
        <v>2</v>
      </c>
      <c r="J16" s="19">
        <f>Table8[[#This Row],[Cost]]*Table8[[#This Row],[Stock]]</f>
        <v>104000</v>
      </c>
      <c r="K16" s="19" t="str">
        <f>IF(Table8[[#This Row],[Stock]]&gt;0,"In Stock","Out Of Stock")</f>
        <v>In Stock</v>
      </c>
      <c r="L16" s="36" t="str">
        <f>IFERROR(IF(Table8[[#This Row],[Stock]]&lt;5," 📞 "&amp; Table8[[#This Row],[Product Name]] &amp;" Need To  Re-order !! Ph " &amp;IFERROR(VLOOKUP(Table8[[#This Row],[HSN Code]],vendorsdata[#All],4,0),""),""),"")</f>
        <v xml:space="preserve"> 📞 Camera Need To  Re-order !! Ph 9813xxxxxx</v>
      </c>
    </row>
    <row r="17" spans="3:12" x14ac:dyDescent="0.3">
      <c r="C17" s="19"/>
      <c r="D17" s="19" t="str">
        <f>productdata[[#This Row],[HSN Code]]</f>
        <v>N1008</v>
      </c>
      <c r="E17" s="19" t="str">
        <f>productdata[[#This Row],[Product Name]]</f>
        <v>Headphones</v>
      </c>
      <c r="F17" s="19">
        <f>productdata[[#This Row],[Cost]]</f>
        <v>799</v>
      </c>
      <c r="G17" s="19">
        <f>SUMIF(Table5[Product Name],Table8[Product Name],Table5[Units])</f>
        <v>3</v>
      </c>
      <c r="H17" s="19">
        <f>SUMIF(Table7[Product Name],Table8[Product Name],Table7[Units])</f>
        <v>0</v>
      </c>
      <c r="I17" s="19">
        <f>Table8[[#This Row],[P Units]]-Table8[[#This Row],[S Units]]</f>
        <v>3</v>
      </c>
      <c r="J17" s="19">
        <f>Table8[[#This Row],[Cost]]*Table8[[#This Row],[Stock]]</f>
        <v>2397</v>
      </c>
      <c r="K17" s="19" t="str">
        <f>IF(Table8[[#This Row],[Stock]]&gt;0,"In Stock","Out Of Stock")</f>
        <v>In Stock</v>
      </c>
      <c r="L17" s="36" t="str">
        <f>IFERROR(IF(Table8[[#This Row],[Stock]]&lt;5," 📞 "&amp; Table8[[#This Row],[Product Name]] &amp;" Need To  Re-order !! Ph " &amp;IFERROR(VLOOKUP(Table8[[#This Row],[HSN Code]],vendorsdata[#All],4,0),""),""),"")</f>
        <v xml:space="preserve"> 📞 Headphones Need To  Re-order !! Ph 9814xxxxxx</v>
      </c>
    </row>
    <row r="18" spans="3:12" x14ac:dyDescent="0.3">
      <c r="C18" s="19"/>
      <c r="D18" s="19" t="str">
        <f>productdata[[#This Row],[HSN Code]]</f>
        <v>N1009</v>
      </c>
      <c r="E18" s="19" t="str">
        <f>productdata[[#This Row],[Product Name]]</f>
        <v>Speakers</v>
      </c>
      <c r="F18" s="19">
        <f>productdata[[#This Row],[Cost]]</f>
        <v>670</v>
      </c>
      <c r="G18" s="19">
        <f>SUMIF(Table5[Product Name],Table8[Product Name],Table5[Units])</f>
        <v>21</v>
      </c>
      <c r="H18" s="19">
        <f>SUMIF(Table7[Product Name],Table8[Product Name],Table7[Units])</f>
        <v>0</v>
      </c>
      <c r="I18" s="19">
        <f>Table8[[#This Row],[P Units]]-Table8[[#This Row],[S Units]]</f>
        <v>21</v>
      </c>
      <c r="J18" s="19">
        <f>Table8[[#This Row],[Cost]]*Table8[[#This Row],[Stock]]</f>
        <v>14070</v>
      </c>
      <c r="K18" s="19" t="str">
        <f>IF(Table8[[#This Row],[Stock]]&gt;0,"In Stock","Out Of Stock")</f>
        <v>In Stock</v>
      </c>
      <c r="L18" s="36" t="str">
        <f>IFERROR(IF(Table8[[#This Row],[Stock]]&lt;5," 📞 "&amp; Table8[[#This Row],[Product Name]] &amp;" Need To  Re-order !! Ph " &amp;IFERROR(VLOOKUP(Table8[[#This Row],[HSN Code]],vendorsdata[#All],4,0),""),""),"")</f>
        <v/>
      </c>
    </row>
    <row r="19" spans="3:12" x14ac:dyDescent="0.3">
      <c r="C19" s="19"/>
      <c r="D19" s="19" t="str">
        <f>productdata[[#This Row],[HSN Code]]</f>
        <v>N1010</v>
      </c>
      <c r="E19" s="19" t="str">
        <f>productdata[[#This Row],[Product Name]]</f>
        <v>Tablets</v>
      </c>
      <c r="F19" s="19">
        <f>productdata[[#This Row],[Cost]]</f>
        <v>23500</v>
      </c>
      <c r="G19" s="19">
        <f>SUMIF(Table5[Product Name],Table8[Product Name],Table5[Units])</f>
        <v>60</v>
      </c>
      <c r="H19" s="19">
        <f>SUMIF(Table7[Product Name],Table8[Product Name],Table7[Units])</f>
        <v>0</v>
      </c>
      <c r="I19" s="19">
        <f>Table8[[#This Row],[P Units]]-Table8[[#This Row],[S Units]]</f>
        <v>60</v>
      </c>
      <c r="J19" s="19">
        <f>Table8[[#This Row],[Cost]]*Table8[[#This Row],[Stock]]</f>
        <v>1410000</v>
      </c>
      <c r="K19" s="19" t="str">
        <f>IF(Table8[[#This Row],[Stock]]&gt;0,"In Stock","Out Of Stock")</f>
        <v>In Stock</v>
      </c>
      <c r="L19" s="36" t="str">
        <f>IFERROR(IF(Table8[[#This Row],[Stock]]&lt;5," 📞 "&amp; Table8[[#This Row],[Product Name]] &amp;" Need To  Re-order !! Ph " &amp;IFERROR(VLOOKUP(Table8[[#This Row],[HSN Code]],vendorsdata[#All],4,0),""),""),"")</f>
        <v/>
      </c>
    </row>
    <row r="20" spans="3:12" x14ac:dyDescent="0.3">
      <c r="I20" s="19"/>
      <c r="L20" s="36"/>
    </row>
    <row r="21" spans="3:12" x14ac:dyDescent="0.3">
      <c r="I21" s="19"/>
      <c r="L21" s="36"/>
    </row>
    <row r="22" spans="3:12" x14ac:dyDescent="0.3">
      <c r="I22" s="19"/>
      <c r="L22" s="36"/>
    </row>
    <row r="23" spans="3:12" x14ac:dyDescent="0.3">
      <c r="I23" s="19"/>
      <c r="L23" s="36"/>
    </row>
    <row r="24" spans="3:12" x14ac:dyDescent="0.3">
      <c r="I24" s="19"/>
      <c r="L24" s="36"/>
    </row>
    <row r="25" spans="3:12" x14ac:dyDescent="0.3">
      <c r="I25" s="19"/>
      <c r="L25" s="36"/>
    </row>
    <row r="26" spans="3:12" x14ac:dyDescent="0.3">
      <c r="I26" s="19"/>
      <c r="L26" s="36"/>
    </row>
    <row r="27" spans="3:12" x14ac:dyDescent="0.3">
      <c r="I27" s="19"/>
      <c r="L27" s="36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03F4-597D-4C9A-B498-B09CE738530C}">
  <dimension ref="B3:I26"/>
  <sheetViews>
    <sheetView topLeftCell="B2" workbookViewId="0">
      <selection activeCell="O18" sqref="O18"/>
    </sheetView>
  </sheetViews>
  <sheetFormatPr defaultRowHeight="14.4" x14ac:dyDescent="0.3"/>
  <cols>
    <col min="2" max="2" width="15.21875" bestFit="1" customWidth="1"/>
    <col min="4" max="4" width="13.44140625" bestFit="1" customWidth="1"/>
    <col min="6" max="6" width="21" customWidth="1"/>
    <col min="8" max="8" width="12.5546875" bestFit="1" customWidth="1"/>
    <col min="9" max="10" width="14.44140625" bestFit="1" customWidth="1"/>
  </cols>
  <sheetData>
    <row r="3" spans="2:9" x14ac:dyDescent="0.3">
      <c r="H3" s="32" t="s">
        <v>85</v>
      </c>
      <c r="I3" t="s">
        <v>87</v>
      </c>
    </row>
    <row r="4" spans="2:9" x14ac:dyDescent="0.3">
      <c r="B4" s="28" t="s">
        <v>73</v>
      </c>
      <c r="C4" s="28"/>
      <c r="D4" s="28" t="s">
        <v>74</v>
      </c>
      <c r="H4" s="33" t="s">
        <v>29</v>
      </c>
      <c r="I4" s="27">
        <v>19</v>
      </c>
    </row>
    <row r="5" spans="2:9" x14ac:dyDescent="0.3">
      <c r="B5" s="29">
        <v>8</v>
      </c>
      <c r="C5" s="28"/>
      <c r="D5" s="28">
        <f>GETPIVOTDATA("Cust_Id",$B$4)</f>
        <v>8</v>
      </c>
      <c r="H5" s="33" t="s">
        <v>33</v>
      </c>
      <c r="I5" s="27">
        <v>17</v>
      </c>
    </row>
    <row r="6" spans="2:9" x14ac:dyDescent="0.3">
      <c r="B6" s="28"/>
      <c r="C6" s="28"/>
      <c r="D6" s="28"/>
      <c r="H6" s="33" t="s">
        <v>37</v>
      </c>
      <c r="I6" s="27">
        <v>13</v>
      </c>
    </row>
    <row r="7" spans="2:9" x14ac:dyDescent="0.3">
      <c r="B7" s="28"/>
      <c r="C7" s="28"/>
      <c r="D7" s="28"/>
      <c r="H7" s="33" t="s">
        <v>27</v>
      </c>
      <c r="I7" s="27">
        <v>10</v>
      </c>
    </row>
    <row r="8" spans="2:9" x14ac:dyDescent="0.3">
      <c r="B8" s="28" t="s">
        <v>75</v>
      </c>
      <c r="C8" s="28"/>
      <c r="D8" s="28" t="s">
        <v>76</v>
      </c>
      <c r="H8" s="33" t="s">
        <v>25</v>
      </c>
      <c r="I8" s="27">
        <v>9</v>
      </c>
    </row>
    <row r="9" spans="2:9" x14ac:dyDescent="0.3">
      <c r="B9" s="29">
        <v>10</v>
      </c>
      <c r="C9" s="28"/>
      <c r="D9" s="28">
        <f>GETPIVOTDATA("Product Name",$B$8)</f>
        <v>10</v>
      </c>
      <c r="H9" s="33" t="s">
        <v>86</v>
      </c>
      <c r="I9" s="27">
        <v>68</v>
      </c>
    </row>
    <row r="10" spans="2:9" x14ac:dyDescent="0.3">
      <c r="B10" s="28"/>
      <c r="C10" s="28"/>
      <c r="D10" s="28"/>
    </row>
    <row r="11" spans="2:9" x14ac:dyDescent="0.3">
      <c r="B11" s="28"/>
      <c r="C11" s="28"/>
      <c r="D11" s="28"/>
      <c r="F11" s="28" t="s">
        <v>84</v>
      </c>
    </row>
    <row r="12" spans="2:9" x14ac:dyDescent="0.3">
      <c r="B12" s="28" t="s">
        <v>77</v>
      </c>
      <c r="C12" s="28"/>
      <c r="D12" s="28" t="s">
        <v>78</v>
      </c>
      <c r="F12" s="31">
        <f>D16+D26-D13</f>
        <v>249460</v>
      </c>
    </row>
    <row r="13" spans="2:9" x14ac:dyDescent="0.3">
      <c r="B13" s="29">
        <v>2895487</v>
      </c>
      <c r="C13" s="28"/>
      <c r="D13" s="31">
        <f>GETPIVOTDATA("Amount",$B$12)</f>
        <v>2895487</v>
      </c>
      <c r="H13" s="32" t="s">
        <v>85</v>
      </c>
      <c r="I13" t="s">
        <v>77</v>
      </c>
    </row>
    <row r="14" spans="2:9" x14ac:dyDescent="0.3">
      <c r="B14" s="28"/>
      <c r="C14" s="28"/>
      <c r="D14" s="28"/>
      <c r="F14" s="30"/>
      <c r="H14" s="33" t="s">
        <v>14</v>
      </c>
      <c r="I14" s="27">
        <v>728880</v>
      </c>
    </row>
    <row r="15" spans="2:9" x14ac:dyDescent="0.3">
      <c r="B15" s="28" t="s">
        <v>77</v>
      </c>
      <c r="C15" s="28"/>
      <c r="D15" s="28" t="s">
        <v>79</v>
      </c>
      <c r="H15" s="33" t="s">
        <v>12</v>
      </c>
      <c r="I15" s="27">
        <v>416400</v>
      </c>
    </row>
    <row r="16" spans="2:9" x14ac:dyDescent="0.3">
      <c r="B16" s="29">
        <v>1496760</v>
      </c>
      <c r="C16" s="28"/>
      <c r="D16" s="31">
        <f>GETPIVOTDATA("Amount",$B$15)</f>
        <v>1496760</v>
      </c>
      <c r="H16" s="33" t="s">
        <v>11</v>
      </c>
      <c r="I16" s="27">
        <v>197784</v>
      </c>
    </row>
    <row r="17" spans="2:9" x14ac:dyDescent="0.3">
      <c r="B17" s="28"/>
      <c r="C17" s="28"/>
      <c r="D17" s="28"/>
      <c r="H17" s="33" t="s">
        <v>15</v>
      </c>
      <c r="I17" s="27">
        <v>151200</v>
      </c>
    </row>
    <row r="18" spans="2:9" x14ac:dyDescent="0.3">
      <c r="B18" s="28"/>
      <c r="C18" s="28"/>
      <c r="D18" s="28"/>
      <c r="H18" s="33" t="s">
        <v>16</v>
      </c>
      <c r="I18" s="27">
        <v>1680</v>
      </c>
    </row>
    <row r="19" spans="2:9" x14ac:dyDescent="0.3">
      <c r="B19" s="28"/>
      <c r="C19" s="28"/>
      <c r="D19" s="28"/>
      <c r="H19" s="33" t="s">
        <v>86</v>
      </c>
      <c r="I19" s="27">
        <v>1495944</v>
      </c>
    </row>
    <row r="20" spans="2:9" x14ac:dyDescent="0.3">
      <c r="B20" s="28" t="s">
        <v>80</v>
      </c>
      <c r="C20" s="28"/>
      <c r="D20" s="28" t="s">
        <v>81</v>
      </c>
    </row>
    <row r="21" spans="2:9" x14ac:dyDescent="0.3">
      <c r="B21" s="29">
        <v>156</v>
      </c>
      <c r="C21" s="28"/>
      <c r="D21" s="28">
        <f>GETPIVOTDATA("Stock",$B$20)</f>
        <v>156</v>
      </c>
    </row>
    <row r="25" spans="2:9" x14ac:dyDescent="0.3">
      <c r="B25" t="s">
        <v>82</v>
      </c>
      <c r="D25" t="s">
        <v>83</v>
      </c>
    </row>
    <row r="26" spans="2:9" x14ac:dyDescent="0.3">
      <c r="B26" s="27">
        <v>1648187</v>
      </c>
      <c r="D26" s="31">
        <f>GETPIVOTDATA("Stock Amt.",$B$25)</f>
        <v>1648187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0B94-4E58-4EA9-A0D3-705C14ACB2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Pivot</vt:lpstr>
      <vt:lpstr>Sheet9</vt:lpstr>
      <vt:lpstr>Customer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lovelesh sharma</dc:creator>
  <cp:lastModifiedBy>lovelesh sharma</cp:lastModifiedBy>
  <dcterms:created xsi:type="dcterms:W3CDTF">2026-01-14T05:49:58Z</dcterms:created>
  <dcterms:modified xsi:type="dcterms:W3CDTF">2026-01-14T12:37:57Z</dcterms:modified>
</cp:coreProperties>
</file>